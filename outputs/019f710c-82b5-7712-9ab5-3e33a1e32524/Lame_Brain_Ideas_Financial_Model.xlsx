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0ec7a0770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1a5e2f299a4462"/>
    <x:sheet xmlns:r="http://schemas.openxmlformats.org/officeDocument/2006/relationships" name="Assumptions" sheetId="2" r:id="R7f49f4a4ca874730"/>
    <x:sheet xmlns:r="http://schemas.openxmlformats.org/officeDocument/2006/relationships" name="24-Month Plan" sheetId="3" r:id="R6069c7be4b1c4141"/>
    <x:sheet xmlns:r="http://schemas.openxmlformats.org/officeDocument/2006/relationships" name="Funnel &amp; Capacity" sheetId="4" r:id="R7a4d076afc7143db"/>
    <x:sheet xmlns:r="http://schemas.openxmlformats.org/officeDocument/2006/relationships" name="Cash Flow" sheetId="5" r:id="R1dcac17d3419428f"/>
    <x:sheet xmlns:r="http://schemas.openxmlformats.org/officeDocument/2006/relationships" name="Launch Budget" sheetId="6" r:id="R5a128495ecbc4c28"/>
    <x:sheet xmlns:r="http://schemas.openxmlformats.org/officeDocument/2006/relationships" name="Checks" sheetId="7" r:id="R88e302c2ec26454f"/>
    <x:sheet xmlns:r="http://schemas.openxmlformats.org/officeDocument/2006/relationships" name="Sources" sheetId="8" r:id="R5193d5632e40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d, yyyy"/>
    <x:numFmt numFmtId="201" formatCode="$#,##0;[Red]($#,##0);-"/>
    <x:numFmt numFmtId="202" formatCode="0.00"/>
    <x:numFmt numFmtId="203" formatCode="0.0%;[Red](0.0%);-"/>
    <x:numFmt numFmtId="204" formatCode="#,##0;[Red](#,##0);-"/>
    <x:numFmt numFmtId="205" formatCode="mmm-yy"/>
    <x:numFmt numFmtId="206" formatCode="#,##0.0;[Red](#,##0.0);-"/>
  </x:numFmts>
  <x:fonts count="12">
    <x:font>
      <x:sz val="11"/>
      <x:name val="Carlito"/>
    </x:font>
    <x:font>
      <x:sz val="10"/>
      <x:color rgb="FF17202A"/>
      <x:name val="Arial"/>
    </x:font>
    <x:font>
      <x:b/>
      <x:sz val="16"/>
      <x:color rgb="FF17202A"/>
      <x:name val="Arial"/>
    </x:font>
    <x:font>
      <x:i/>
      <x:sz val="9"/>
      <x:color rgb="FF5B6B7A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b/>
      <x:sz val="10"/>
      <x:color rgb="FF17202A"/>
      <x:name val="Arial"/>
    </x:font>
    <x:font>
      <x:sz val="10"/>
      <x:color rgb="FF008000"/>
      <x:name val="Arial"/>
    </x:font>
    <x:font>
      <x:b/>
      <x:sz val="11"/>
      <x:color rgb="FFFFFFFF"/>
      <x:name val="Arial"/>
    </x:font>
    <x:font>
      <x:b/>
      <x:sz val="12"/>
      <x:color rgb="FF17202A"/>
      <x:name val="Arial"/>
    </x:font>
    <x:font>
      <x:b/>
      <x:sz val="10"/>
      <x:color rgb="FF007C8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007C83"/>
      </x:patternFill>
    </x:fill>
    <x:fill>
      <x:patternFill patternType="solid">
        <x:fgColor rgb="FFEAF2F7"/>
      </x:patternFill>
    </x:fill>
    <x:fill>
      <x:patternFill patternType="solid">
        <x:fgColor rgb="FFE4F4F2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medium">
        <x:color rgb="FF007C83"/>
      </x:bottom>
      <x:diagonal/>
    </x:border>
    <x:border>
      <x:left style="thin">
        <x:color rgb="FF17324D"/>
      </x:left>
      <x:right/>
      <x:top style="thin">
        <x:color rgb="FF17324D"/>
      </x:top>
      <x:bottom style="thin">
        <x:color rgb="FF17324D"/>
      </x:bottom>
      <x:diagonal/>
    </x:border>
    <x:border>
      <x:left/>
      <x:right/>
      <x:top style="thin">
        <x:color rgb="FF17324D"/>
      </x:top>
      <x:bottom style="thin">
        <x:color rgb="FF17324D"/>
      </x:bottom>
      <x:diagonal/>
    </x:border>
    <x:border>
      <x:left/>
      <x:right style="thin">
        <x:color rgb="FF17324D"/>
      </x:right>
      <x:top style="thin">
        <x:color rgb="FF17324D"/>
      </x:top>
      <x:bottom style="thin">
        <x:color rgb="FF17324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17324D"/>
      </x:top>
      <x:bottom/>
      <x:diagonal/>
    </x:border>
    <x:border>
      <x:left style="thin">
        <x:color rgb="FFCFD9DF"/>
      </x:left>
      <x:right/>
      <x:top style="thin">
        <x:color rgb="FFCFD9DF"/>
      </x:top>
      <x:bottom/>
      <x:diagonal/>
    </x:border>
    <x:border>
      <x:left/>
      <x:right style="thin">
        <x:color rgb="FFCFD9DF"/>
      </x:right>
      <x:top style="thin">
        <x:color rgb="FFCFD9DF"/>
      </x:top>
      <x:bottom/>
      <x:diagonal/>
    </x:border>
    <x:border>
      <x:left style="thin">
        <x:color rgb="FFCFD9DF"/>
      </x:left>
      <x:right/>
      <x:top/>
      <x:bottom/>
      <x:diagonal/>
    </x:border>
    <x:border>
      <x:left/>
      <x:right style="thin">
        <x:color rgb="FFCFD9DF"/>
      </x:right>
      <x:top/>
      <x:bottom/>
      <x:diagonal/>
    </x:border>
    <x:border>
      <x:left style="thin">
        <x:color rgb="FFCFD9DF"/>
      </x:left>
      <x:right/>
      <x:top/>
      <x:bottom style="thin">
        <x:color rgb="FFCFD9DF"/>
      </x:bottom>
      <x:diagonal/>
    </x:border>
    <x:border>
      <x:left/>
      <x:right style="thin">
        <x:color rgb="FFCFD9DF"/>
      </x:right>
      <x:top/>
      <x:bottom style="thin">
        <x:color rgb="FFCFD9DF"/>
      </x:bottom>
      <x:diagonal/>
    </x:border>
    <x:border>
      <x:left/>
      <x:right/>
      <x:top/>
      <x:bottom style="thin">
        <x:color rgb="FFCFD9DF"/>
      </x:bottom>
      <x:diagonal/>
    </x:border>
  </x:borders>
  <x:cellStyleXfs count="1">
    <x:xf numFmtId="0" fontId="0" fillId="0" borderId="0"/>
  </x:cellStyleXfs>
  <x:cellXfs count="1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1" fontId="1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/>
    <x:xf numFmtId="201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7" xfId="0" applyNumberFormat="1" applyFont="1" applyFill="1" applyBorder="1" applyAlignment="1">
      <x:alignment horizont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202" fontId="4" fillId="2" borderId="0" xfId="0" applyNumberFormat="1" applyFont="1" applyFill="1" applyBorder="1"/>
    <x:xf numFmtId="203" fontId="4" fillId="2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5" borderId="0" xfId="0" applyNumberFormat="1" applyFont="1" applyFill="1" applyBorder="1"/>
    <x:xf numFmtId="201" fontId="1" fillId="5" borderId="0" xfId="0" applyNumberFormat="1" applyFont="1" applyFill="1" applyBorder="1"/>
    <x:xf numFmtId="202" fontId="1" fillId="5" borderId="0" xfId="0" applyNumberFormat="1" applyFont="1" applyFill="1" applyBorder="1"/>
    <x:xf numFmtId="203" fontId="1" fillId="5" borderId="0" xfId="0" applyNumberFormat="1" applyFont="1" applyFill="1" applyBorder="1"/>
    <x:xf numFmtId="0" fontId="7" fillId="5" borderId="0" xfId="0" applyNumberFormat="1" applyFont="1" applyFill="1" applyBorder="1"/>
    <x:xf numFmtId="201" fontId="7" fillId="5" borderId="0" xfId="0" applyNumberFormat="1" applyFont="1" applyFill="1" applyBorder="1"/>
    <x:xf numFmtId="202" fontId="7" fillId="5" borderId="0" xfId="0" applyNumberFormat="1" applyFont="1" applyFill="1" applyBorder="1"/>
    <x:xf numFmtId="203" fontId="7" fillId="5" borderId="0" xfId="0" applyNumberFormat="1" applyFont="1" applyFill="1" applyBorder="1"/>
    <x:xf numFmtId="0" fontId="7" fillId="5" borderId="8" xfId="0" applyNumberFormat="1" applyFont="1" applyFill="1" applyBorder="1"/>
    <x:xf numFmtId="201" fontId="7" fillId="5" borderId="8" xfId="0" applyNumberFormat="1" applyFont="1" applyFill="1" applyBorder="1"/>
    <x:xf numFmtId="202" fontId="7" fillId="5" borderId="8" xfId="0" applyNumberFormat="1" applyFont="1" applyFill="1" applyBorder="1"/>
    <x:xf numFmtId="203" fontId="7" fillId="5" borderId="8" xfId="0" applyNumberFormat="1" applyFont="1" applyFill="1" applyBorder="1"/>
    <x:xf numFmtId="204" fontId="4" fillId="2" borderId="0" xfId="0" applyNumberFormat="1" applyFont="1" applyFill="1" applyBorder="1"/>
    <x:xf numFmtId="201" fontId="1" fillId="3" borderId="0" xfId="0" applyNumberFormat="1" applyFont="1" applyFill="1" applyBorder="1"/>
    <x:xf numFmtId="201" fontId="5" fillId="3" borderId="0" xfId="0" applyNumberFormat="1" applyFont="1" applyFill="1" applyBorder="1"/>
    <x:xf numFmtId="0" fontId="5" fillId="3" borderId="8" xfId="0" applyNumberFormat="1" applyFont="1" applyFill="1" applyBorder="1"/>
    <x:xf numFmtId="201" fontId="5" fillId="3" borderId="8" xfId="0" applyNumberFormat="1" applyFont="1" applyFill="1" applyBorder="1"/>
    <x:xf numFmtId="205" fontId="6" fillId="4" borderId="6" xfId="0" applyNumberFormat="1" applyFont="1" applyFill="1" applyBorder="1" applyAlignment="1">
      <x:alignment horizontal="center" vertical="center" wrapText="1"/>
    </x:xf>
    <x:xf numFmtId="205" fontId="6" fillId="4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204" fontId="8" fillId="0" borderId="0" xfId="0" applyNumberFormat="1" applyFont="1" applyFill="1" applyBorder="1"/>
    <x:xf numFmtId="203" fontId="8" fillId="0" borderId="0" xfId="0" applyNumberFormat="1" applyFont="1" applyFill="1" applyBorder="1"/>
    <x:xf numFmtId="206" fontId="1" fillId="0" borderId="0" xfId="0" applyNumberFormat="1" applyFont="1" applyFill="1" applyBorder="1"/>
    <x:xf numFmtId="206" fontId="8" fillId="0" borderId="0" xfId="0" applyNumberFormat="1" applyFont="1" applyFill="1" applyBorder="1"/>
    <x:xf numFmtId="201" fontId="8" fillId="0" borderId="0" xfId="0" applyNumberFormat="1" applyFont="1" applyFill="1" applyBorder="1"/>
    <x:xf numFmtId="204" fontId="1" fillId="0" borderId="0" xfId="0" applyNumberFormat="1" applyFont="1" applyFill="1" applyBorder="1"/>
    <x:xf numFmtId="204" fontId="1" fillId="2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/>
    <x:xf numFmtId="0" fontId="1" fillId="5" borderId="10" xfId="0" applyNumberFormat="1" applyFont="1" applyFill="1" applyBorder="1"/>
    <x:xf numFmtId="0" fontId="1" fillId="5" borderId="11" xfId="0" applyNumberFormat="1" applyFont="1" applyFill="1" applyBorder="1"/>
    <x:xf numFmtId="0" fontId="1" fillId="5" borderId="12" xfId="0" applyNumberFormat="1" applyFont="1" applyFill="1" applyBorder="1"/>
    <x:xf numFmtId="0" fontId="1" fillId="5" borderId="13" xfId="0" applyNumberFormat="1" applyFont="1" applyFill="1" applyBorder="1"/>
    <x:xf numFmtId="0" fontId="1" fillId="5" borderId="14" xfId="0" applyNumberFormat="1" applyFont="1" applyFill="1" applyBorder="1"/>
    <x:xf numFmtId="0" fontId="1" fillId="5" borderId="9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0" fontId="1" fillId="5" borderId="12" xfId="0" applyNumberFormat="1" applyFont="1" applyFill="1" applyBorder="1" applyAlignment="1">
      <x:alignment vertical="center"/>
    </x:xf>
    <x:xf numFmtId="0" fontId="1" fillId="5" borderId="13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center"/>
    </x:xf>
    <x:xf numFmtId="201" fontId="1" fillId="5" borderId="10" xfId="0" applyNumberFormat="1" applyFont="1" applyFill="1" applyBorder="1" applyAlignment="1">
      <x:alignment vertical="center"/>
    </x:xf>
    <x:xf numFmtId="201" fontId="1" fillId="5" borderId="12" xfId="0" applyNumberFormat="1" applyFont="1" applyFill="1" applyBorder="1" applyAlignment="1">
      <x:alignment vertical="center"/>
    </x:xf>
    <x:xf numFmtId="203" fontId="1" fillId="5" borderId="14" xfId="0" applyNumberFormat="1" applyFont="1" applyFill="1" applyBorder="1" applyAlignment="1">
      <x:alignment vertical="center"/>
    </x:xf>
    <x:xf numFmtId="204" fontId="1" fillId="5" borderId="12" xfId="0" applyNumberFormat="1" applyFont="1" applyFill="1" applyBorder="1" applyAlignment="1">
      <x:alignment vertical="center"/>
    </x:xf>
    <x:xf numFmtId="201" fontId="10" fillId="5" borderId="10" xfId="0" applyNumberFormat="1" applyFont="1" applyFill="1" applyBorder="1" applyAlignment="1">
      <x:alignment vertical="center"/>
    </x:xf>
    <x:xf numFmtId="201" fontId="10" fillId="5" borderId="12" xfId="0" applyNumberFormat="1" applyFont="1" applyFill="1" applyBorder="1" applyAlignment="1">
      <x:alignment vertical="center"/>
    </x:xf>
    <x:xf numFmtId="0" fontId="10" fillId="5" borderId="14" xfId="0" applyNumberFormat="1" applyFont="1" applyFill="1" applyBorder="1" applyAlignment="1">
      <x:alignment vertical="center"/>
    </x:xf>
    <x:xf numFmtId="203" fontId="10" fillId="5" borderId="14" xfId="0" applyNumberFormat="1" applyFont="1" applyFill="1" applyBorder="1" applyAlignment="1">
      <x:alignment vertical="center"/>
    </x:xf>
    <x:xf numFmtId="204" fontId="10" fillId="5" borderId="1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" fillId="6" borderId="15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5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5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15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0" fontId="7" fillId="5" borderId="8" xfId="0" applyNumberFormat="1" applyFont="1" applyFill="1" applyBorder="1" applyAlignment="1">
      <x:alignment vertical="center"/>
    </x:xf>
    <x:xf numFmtId="201" fontId="7" fillId="5" borderId="8" xfId="0" applyNumberFormat="1" applyFont="1" applyFill="1" applyBorder="1" applyAlignment="1">
      <x:alignment vertical="center"/>
    </x:xf>
    <x:xf numFmtId="202" fontId="7" fillId="5" borderId="8" xfId="0" applyNumberFormat="1" applyFont="1" applyFill="1" applyBorder="1" applyAlignment="1">
      <x:alignment vertical="center"/>
    </x:xf>
    <x:xf numFmtId="203" fontId="7" fillId="5" borderId="8" xfId="0" applyNumberFormat="1" applyFont="1" applyFill="1" applyBorder="1" applyAlignment="1">
      <x:alignment vertical="center"/>
    </x:xf>
    <x:xf numFmtId="204" fontId="4" fillId="2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201" fontId="5" fillId="3" borderId="8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ef81a18794cf6" /><Relationship Type="http://schemas.openxmlformats.org/officeDocument/2006/relationships/theme" Target="/xl/theme/theme1.xml" Id="R8a4557696fd343b7" /><Relationship Type="http://schemas.openxmlformats.org/officeDocument/2006/relationships/sharedStrings" Target="/xl/sharedStrings.xml" Id="R5ae1732061e6441b" /><Relationship Type="http://schemas.openxmlformats.org/officeDocument/2006/relationships/worksheet" Target="/xl/worksheets/sheet1.xml" Id="R781a5e2f299a4462" /><Relationship Type="http://schemas.openxmlformats.org/officeDocument/2006/relationships/worksheet" Target="/xl/worksheets/sheet2.xml" Id="R7f49f4a4ca874730" /><Relationship Type="http://schemas.openxmlformats.org/officeDocument/2006/relationships/worksheet" Target="/xl/worksheets/sheet3.xml" Id="R6069c7be4b1c4141" /><Relationship Type="http://schemas.openxmlformats.org/officeDocument/2006/relationships/worksheet" Target="/xl/worksheets/sheet4.xml" Id="R7a4d076afc7143db" /><Relationship Type="http://schemas.openxmlformats.org/officeDocument/2006/relationships/worksheet" Target="/xl/worksheets/sheet5.xml" Id="R1dcac17d3419428f" /><Relationship Type="http://schemas.openxmlformats.org/officeDocument/2006/relationships/worksheet" Target="/xl/worksheets/sheet6.xml" Id="R5a128495ecbc4c28" /><Relationship Type="http://schemas.openxmlformats.org/officeDocument/2006/relationships/worksheet" Target="/xl/worksheets/sheet7.xml" Id="R88e302c2ec26454f" /><Relationship Type="http://schemas.openxmlformats.org/officeDocument/2006/relationships/worksheet" Target="/xl/worksheets/sheet8.xml" Id="R5193d5632e4045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ba0b69221c43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revenue and EBITDA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'Summary'!$A$20:$A$43</c:f>
              <c:strCache>
                <c:ptCount val="0"/>
              </c:strCache>
            </c:strRef>
          </c:cat>
          <c:val>
            <c:numRef>
              <c:f>'Summary'!$B$20:$B$43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'Summary'!$A$20:$A$43</c:f>
              <c:strCache>
                <c:ptCount val="0"/>
              </c:strCache>
            </c:strRef>
          </c:cat>
          <c:val>
            <c:numRef>
              <c:f>'Summary'!$C$20:$C$43</c:f>
              <c:numCache>
                <c:formatCode>$#,##0;[Red]($#,##0);-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ba0b69221c43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a9d4c74e8f4c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 ht="28" customHeight="1">
      <x:c r="A2" s="4" t="str">
        <x:v>Lame Brain Ideas - Company launch model</x:v>
      </x:c>
      <x:c r="B2" s="4"/>
      <x:c r="C2" s="4"/>
      <x:c r="D2" s="4"/>
      <x:c r="E2" s="4"/>
      <x:c r="F2" s="4"/>
      <x:c r="G2" s="4"/>
      <x:c r="H2" s="4"/>
      <x:c r="I2" s="4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</x:row>
    <x:row r="3" ht="20" customHeight="1">
      <x:c r="A3" s="6" t="str">
        <x:v>Lean pop-up and digital studio | 24-month management case | Updated 7 October 2026</x:v>
      </x:c>
      <x:c r="B3" s="6"/>
      <x:c r="C3" s="6"/>
      <x:c r="D3" s="6"/>
      <x:c r="E3" s="6"/>
      <x:c r="F3" s="6"/>
      <x:c r="G3" s="6"/>
      <x:c r="H3" s="6"/>
      <x:c r="I3" s="6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</x:row>
    <x:row r="4">
      <x:c r="A4" s="101"/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</x:row>
    <x:row r="5" ht="32" customHeight="1">
      <x:c r="A5" s="70" t="str">
        <x:v>Decision: authorize a capped 90-day pilot. Do not sign a flagship lease or launch regulated capital activity.</x:v>
      </x:c>
      <x:c r="B5" s="70"/>
      <x:c r="C5" s="70"/>
      <x:c r="D5" s="70"/>
      <x:c r="E5" s="70"/>
      <x:c r="F5" s="70"/>
      <x:c r="G5" s="70"/>
      <x:c r="H5" s="70"/>
      <x:c r="I5" s="70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</x:row>
    <x:row r="6">
      <x:c r="A6" s="101"/>
      <x:c r="B6" s="101"/>
      <x:c r="C6" s="101"/>
      <x:c r="D6" s="101"/>
      <x:c r="E6" s="101"/>
      <x:c r="F6" s="101"/>
      <x:c r="G6" s="101"/>
      <x:c r="H6" s="10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</x:row>
    <x:row r="7">
      <x:c r="A7" s="77" t="str">
        <x:v>90-day authorization ceiling</x:v>
      </x:c>
      <x:c r="B7" s="87" t="n">
        <x:f>'Launch Budget'!B19</x:f>
        <x:v>125000</x:v>
      </x:c>
      <x:c r="C7" s="101"/>
      <x:c r="D7" s="77" t="str">
        <x:v>Month 24 revenue</x:v>
      </x:c>
      <x:c r="E7" s="87" t="n">
        <x:f>'24-Month Plan'!Y17</x:f>
        <x:v>49316.68049584144</x:v>
      </x:c>
      <x:c r="F7" s="101"/>
      <x:c r="G7" s="77" t="str">
        <x:v>24-month cumulative revenue</x:v>
      </x:c>
      <x:c r="H7" s="87" t="n">
        <x:f>SUM('24-Month Plan'!B17:Y17)</x:f>
        <x:v>556597.9393223557</x:v>
      </x:c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</x:row>
    <x:row r="8">
      <x:c r="A8" s="79" t="str">
        <x:v>24-month external funding need</x:v>
      </x:c>
      <x:c r="B8" s="88" t="n">
        <x:f>'Cash Flow'!B8</x:f>
        <x:v>226013.8692717997</x:v>
      </x:c>
      <x:c r="C8" s="101"/>
      <x:c r="D8" s="79" t="str">
        <x:v>Month 24 EBITDA</x:v>
      </x:c>
      <x:c r="E8" s="88" t="n">
        <x:f>'24-Month Plan'!Y44</x:f>
        <x:v>9021.438800799748</x:v>
      </x:c>
      <x:c r="F8" s="101"/>
      <x:c r="G8" s="79" t="str">
        <x:v>Month 24 active members</x:v>
      </x:c>
      <x:c r="H8" s="91" t="n">
        <x:f>'24-Month Plan'!Y13</x:f>
        <x:v>120</x:v>
      </x:c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</x:row>
    <x:row r="9">
      <x:c r="A9" s="81" t="str">
        <x:v>First positive monthly EBITDA</x:v>
      </x:c>
      <x:c r="B9" s="89" t="str">
        <x:f>IF('24-Month Plan'!B44&gt;0,"Month 1",IF('24-Month Plan'!C44&gt;0,"Month 2",IF('24-Month Plan'!D44&gt;0,"Month 3",IF('24-Month Plan'!E44&gt;0,"Month 4",IF('24-Month Plan'!F44&gt;0,"Month 5",IF('24-Month Plan'!G44&gt;0,"Month 6",IF('24-Month Plan'!H44&gt;0,"Month 7",IF('24-Month Plan'!I44&gt;0,"Month 8",IF('24-Month Plan'!J44&gt;0,"Month 9",IF('24-Month Plan'!K44&gt;0,"Month 10",IF('24-Month Plan'!L44&gt;0,"Month 11",IF('24-Month Plan'!M44&gt;0,"Month 12",IF('24-Month Plan'!N44&gt;0,"Month 13",IF('24-Month Plan'!O44&gt;0,"Month 14",IF('24-Month Plan'!P44&gt;0,"Month 15",IF('24-Month Plan'!Q44&gt;0,"Month 16",IF('24-Month Plan'!R44&gt;0,"Month 17",IF('24-Month Plan'!S44&gt;0,"Month 18",IF('24-Month Plan'!T44&gt;0,"Month 19",IF('24-Month Plan'!U44&gt;0,"Month 20",IF('24-Month Plan'!V44&gt;0,"Month 21",IF('24-Month Plan'!W44&gt;0,"Month 22",IF('24-Month Plan'!X44&gt;0,"Month 23",IF('24-Month Plan'!Y44&gt;0,"Month 24","Beyond Month 24"))))))))))))))))))))))))</x:f>
        <x:v>Month 19</x:v>
      </x:c>
      <x:c r="C9" s="101"/>
      <x:c r="D9" s="81" t="str">
        <x:v>Month 24 contribution margin</x:v>
      </x:c>
      <x:c r="E9" s="90" t="n">
        <x:f>'24-Month Plan'!Y32</x:f>
        <x:v>0.5884710509509442</x:v>
      </x:c>
      <x:c r="F9" s="101"/>
      <x:c r="G9" s="81" t="str">
        <x:v>Month 24 delivery utilization</x:v>
      </x:c>
      <x:c r="H9" s="90" t="n">
        <x:f>'24-Month Plan'!Y23</x:f>
        <x:v>0.8351654910657759</x:v>
      </x:c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</x:row>
    <x:row r="10">
      <x:c r="A10" s="101"/>
      <x:c r="B10" s="101"/>
      <x:c r="C10" s="101"/>
      <x:c r="D10" s="101"/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</x:row>
    <x:row r="11">
      <x:c r="A11" s="101"/>
      <x:c r="B11" s="101"/>
      <x:c r="C11" s="101"/>
      <x:c r="D11" s="101"/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</x:row>
    <x:row r="12" ht="21" customHeight="1">
      <x:c r="A12" s="20" t="str">
        <x:v>Launch interpretation</x:v>
      </x:c>
      <x:c r="B12" s="21"/>
      <x:c r="C12" s="21"/>
      <x:c r="D12" s="21"/>
      <x:c r="E12" s="21"/>
      <x:c r="F12" s="21"/>
      <x:c r="G12" s="21"/>
      <x:c r="H12" s="21"/>
      <x:c r="I12" s="22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</x:row>
    <x:row r="13" ht="31" customHeight="1">
      <x:c r="A13" s="98" t="str">
        <x:v>1</x:v>
      </x:c>
      <x:c r="B13" s="96" t="str">
        <x:v>The management case reaches positive monthly EBITDA only after qualified lead volume, conversion, and offer mix improve. Treat Month 19 as a testable forecast, not a promise.</x:v>
      </x:c>
      <x:c r="C13" s="96"/>
      <x:c r="D13" s="96"/>
      <x:c r="E13" s="96"/>
      <x:c r="F13" s="96"/>
      <x:c r="G13" s="96"/>
      <x:c r="H13" s="96"/>
      <x:c r="I13" s="96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</x:row>
    <x:row r="14" ht="31" customHeight="1">
      <x:c r="A14" s="98" t="str">
        <x:v>2</x:v>
      </x:c>
      <x:c r="B14" s="96" t="str">
        <x:v>The model funds a portable studio, partner events, media, and professional setup. It contains no storefront build-out, crowdfunding fees, investor memberships, or transaction compensation.</x:v>
      </x:c>
      <x:c r="C14" s="96"/>
      <x:c r="D14" s="96"/>
      <x:c r="E14" s="96"/>
      <x:c r="F14" s="96"/>
      <x:c r="G14" s="96"/>
      <x:c r="H14" s="96"/>
      <x:c r="I14" s="96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</x:row>
    <x:row r="15" ht="31" customHeight="1">
      <x:c r="A15" s="98" t="str">
        <x:v>3</x:v>
      </x:c>
      <x:c r="B15" s="96" t="str">
        <x:v>Release capital in three tranches. Stop or redesign the pilot if paid demand, outcomes, contribution, or trust controls do not meet the documented gates.</x:v>
      </x:c>
      <x:c r="C15" s="96"/>
      <x:c r="D15" s="96"/>
      <x:c r="E15" s="96"/>
      <x:c r="F15" s="96"/>
      <x:c r="G15" s="96"/>
      <x:c r="H15" s="96"/>
      <x:c r="I15" s="96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</x:row>
    <x:row r="16" ht="31" customHeight="1">
      <x:c r="A16" s="99" t="str">
        <x:v>4</x:v>
      </x:c>
      <x:c r="B16" s="97" t="str">
        <x:v>Replace every commercial assumption with invoice, funnel, time-log, cohort, or vendor evidence before approving a larger fixed-cost commitment.</x:v>
      </x:c>
      <x:c r="C16" s="97"/>
      <x:c r="D16" s="97"/>
      <x:c r="E16" s="97"/>
      <x:c r="F16" s="97"/>
      <x:c r="G16" s="97"/>
      <x:c r="H16" s="97"/>
      <x:c r="I16" s="97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</x:row>
    <x:row r="17">
      <x:c r="A17" s="101"/>
      <x:c r="B17" s="101"/>
      <x:c r="C17" s="101"/>
      <x:c r="D17" s="101"/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</x:row>
    <x:row r="18">
      <x:c r="A18" s="101"/>
      <x:c r="B18" s="101"/>
      <x:c r="C18" s="101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</x:row>
    <x:row r="19" ht="26" customHeight="1">
      <x:c r="A19" s="34" t="str">
        <x:v>Month</x:v>
      </x:c>
      <x:c r="B19" s="35" t="str">
        <x:v>Revenue</x:v>
      </x:c>
      <x:c r="C19" s="36" t="str">
        <x:v>EBITDA</x:v>
      </x:c>
      <x:c r="D19" s="101"/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</x:row>
    <x:row r="20">
      <x:c r="A20" s="102" t="d">
        <x:v>2026-11-01T00:00:00.000Z</x:v>
      </x:c>
      <x:c r="B20" s="103" t="n">
        <x:f>'24-Month Plan'!B17</x:f>
        <x:v>6015.625</x:v>
      </x:c>
      <x:c r="C20" s="103" t="n">
        <x:f>'24-Month Plan'!B44</x:f>
        <x:v>-7946.234375</x:v>
      </x:c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</x:row>
    <x:row r="21">
      <x:c r="A21" s="102" t="d">
        <x:v>2026-12-01T00:00:00.000Z</x:v>
      </x:c>
      <x:c r="B21" s="103" t="n">
        <x:f>'24-Month Plan'!C17</x:f>
        <x:v>6557.03125</x:v>
      </x:c>
      <x:c r="C21" s="103" t="n">
        <x:f>'24-Month Plan'!C44</x:f>
        <x:v>-7644.395468750001</x:v>
      </x:c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</x:row>
    <x:row r="22">
      <x:c r="A22" s="102" t="d">
        <x:v>2027-01-01T00:00:00.000Z</x:v>
      </x:c>
      <x:c r="B22" s="103" t="n">
        <x:f>'24-Month Plan'!D17</x:f>
        <x:v>7147.164062500001</x:v>
      </x:c>
      <x:c r="C22" s="103" t="n">
        <x:f>'24-Month Plan'!D44</x:f>
        <x:v>-7315.3910609375</x:v>
      </x:c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</x:row>
    <x:row r="23">
      <x:c r="A23" s="102" t="d">
        <x:v>2027-02-01T00:00:00.000Z</x:v>
      </x:c>
      <x:c r="B23" s="103" t="n">
        <x:f>'24-Month Plan'!E17</x:f>
        <x:v>7790.408828125001</x:v>
      </x:c>
      <x:c r="C23" s="103" t="n">
        <x:f>'24-Month Plan'!E44</x:f>
        <x:v>-11556.776256421876</x:v>
      </x:c>
      <x:c r="D23" s="101"/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</x:row>
    <x:row r="24">
      <x:c r="A24" s="102" t="d">
        <x:v>2027-03-01T00:00:00.000Z</x:v>
      </x:c>
      <x:c r="B24" s="103" t="n">
        <x:f>'24-Month Plan'!F17</x:f>
        <x:v>8491.545622656251</x:v>
      </x:c>
      <x:c r="C24" s="103" t="n">
        <x:f>'24-Month Plan'!F44</x:f>
        <x:v>-11165.886119499843</x:v>
      </x:c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</x:row>
    <x:row r="25">
      <x:c r="A25" s="102" t="d">
        <x:v>2027-04-01T00:00:00.000Z</x:v>
      </x:c>
      <x:c r="B25" s="103" t="n">
        <x:f>'24-Month Plan'!G17</x:f>
        <x:v>9255.784728695315</x:v>
      </x:c>
      <x:c r="C25" s="103" t="n">
        <x:f>'24-Month Plan'!G44</x:f>
        <x:v>-10739.815870254828</x:v>
      </x:c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</x:row>
    <x:row r="26">
      <x:c r="A26" s="102" t="d">
        <x:v>2027-05-01T00:00:00.000Z</x:v>
      </x:c>
      <x:c r="B26" s="103" t="n">
        <x:f>'24-Month Plan'!H17</x:f>
        <x:v>12267.987310801922</x:v>
      </x:c>
      <x:c r="C26" s="103" t="n">
        <x:f>'24-Month Plan'!H44</x:f>
        <x:v>-9060.485547070559</x:v>
      </x:c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</x:row>
    <x:row r="27">
      <x:c r="A27" s="102" t="d">
        <x:v>2027-06-01T00:00:00.000Z</x:v>
      </x:c>
      <x:c r="B27" s="103" t="n">
        <x:f>'24-Month Plan'!I17</x:f>
        <x:v>13372.106168774095</x:v>
      </x:c>
      <x:c r="C27" s="103" t="n">
        <x:f>'24-Month Plan'!I44</x:f>
        <x:v>-8444.929246306909</x:v>
      </x:c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</x:row>
    <x:row r="28">
      <x:c r="A28" s="102" t="d">
        <x:v>2027-07-01T00:00:00.000Z</x:v>
      </x:c>
      <x:c r="B28" s="103" t="n">
        <x:f>'24-Month Plan'!J17</x:f>
        <x:v>14575.595723963763</x:v>
      </x:c>
      <x:c r="C28" s="103" t="n">
        <x:f>'24-Month Plan'!J44</x:f>
        <x:v>-7773.97287847453</x:v>
      </x:c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</x:row>
    <x:row r="29">
      <x:c r="A29" s="102" t="d">
        <x:v>2027-08-01T00:00:00.000Z</x:v>
      </x:c>
      <x:c r="B29" s="103" t="n">
        <x:f>'24-Month Plan'!K17</x:f>
        <x:v>15887.399339120504</x:v>
      </x:c>
      <x:c r="C29" s="103" t="n">
        <x:f>'24-Month Plan'!K44</x:f>
        <x:v>-7042.630437537238</x:v>
      </x:c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</x:row>
    <x:row r="30">
      <x:c r="A30" s="102" t="d">
        <x:v>2027-09-01T00:00:00.000Z</x:v>
      </x:c>
      <x:c r="B30" s="103" t="n">
        <x:f>'24-Month Plan'!L17</x:f>
        <x:v>17317.26527964135</x:v>
      </x:c>
      <x:c r="C30" s="103" t="n">
        <x:f>'24-Month Plan'!L44</x:f>
        <x:v>-6245.467176915587</x:v>
      </x:c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</x:row>
    <x:row r="31">
      <x:c r="A31" s="102" t="d">
        <x:v>2027-10-01T00:00:00.000Z</x:v>
      </x:c>
      <x:c r="B31" s="103" t="n">
        <x:f>'24-Month Plan'!M17</x:f>
        <x:v>18875.819154809073</x:v>
      </x:c>
      <x:c r="C31" s="103" t="n">
        <x:f>'24-Month Plan'!M44</x:f>
        <x:v>-5376.55922283799</x:v>
      </x:c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</x:row>
    <x:row r="32">
      <x:c r="A32" s="102" t="d">
        <x:v>2027-11-01T00:00:00.000Z</x:v>
      </x:c>
      <x:c r="B32" s="103" t="n">
        <x:f>'24-Month Plan'!N17</x:f>
        <x:v>23145.828914395814</x:v>
      </x:c>
      <x:c r="C32" s="103" t="n">
        <x:f>'24-Month Plan'!N44</x:f>
        <x:v>-6972.745236325112</x:v>
      </x:c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</x:row>
    <x:row r="33">
      <x:c r="A33" s="102" t="d">
        <x:v>2027-12-01T00:00:00.000Z</x:v>
      </x:c>
      <x:c r="B33" s="103" t="n">
        <x:f>'24-Month Plan'!O17</x:f>
        <x:v>24763.415012895926</x:v>
      </x:c>
      <x:c r="C33" s="103" t="n">
        <x:f>'24-Month Plan'!O44</x:f>
        <x:v>-6014.905950504617</x:v>
      </x:c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</x:row>
    <x:row r="34">
      <x:c r="A34" s="102" t="d">
        <x:v>2028-01-01T00:00:00.000Z</x:v>
      </x:c>
      <x:c r="B34" s="103" t="n">
        <x:f>'24-Month Plan'!P17</x:f>
        <x:v>26462.238095487864</x:v>
      </x:c>
      <x:c r="C34" s="103" t="n">
        <x:f>'24-Month Plan'!P44</x:f>
        <x:v>-5011.776307534896</x:v>
      </x:c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</x:row>
    <x:row r="35">
      <x:c r="A35" s="102" t="d">
        <x:v>2028-02-01T00:00:00.000Z</x:v>
      </x:c>
      <x:c r="B35" s="103" t="n">
        <x:f>'24-Month Plan'!Q17</x:f>
        <x:v>28247.17238121714</x:v>
      </x:c>
      <x:c r="C35" s="103" t="n">
        <x:f>'24-Month Plan'!Q44</x:f>
        <x:v>-3960.6388859869876</x:v>
      </x:c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</x:row>
    <x:row r="36">
      <x:c r="A36" s="102" t="d">
        <x:v>2028-03-01T00:00:00.000Z</x:v>
      </x:c>
      <x:c r="B36" s="103" t="n">
        <x:f>'24-Month Plan'!R17</x:f>
        <x:v>30123.38454227199</x:v>
      </x:c>
      <x:c r="C36" s="103" t="n">
        <x:f>'24-Month Plan'!R44</x:f>
        <x:v>-2858.6132191462057</x:v>
      </x:c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</x:row>
    <x:row r="37">
      <x:c r="A37" s="102" t="d">
        <x:v>2028-04-01T00:00:00.000Z</x:v>
      </x:c>
      <x:c r="B37" s="103" t="n">
        <x:f>'24-Month Plan'!S17</x:f>
        <x:v>33096.351251171945</x:v>
      </x:c>
      <x:c r="C37" s="103" t="n">
        <x:f>'24-Month Plan'!S44</x:f>
        <x:v>-882.6460122949793</x:v>
      </x:c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</x:row>
    <x:row r="38">
      <x:c r="A38" s="102" t="d">
        <x:v>2028-05-01T00:00:00.000Z</x:v>
      </x:c>
      <x:c r="B38" s="103" t="n">
        <x:f>'24-Month Plan'!T17</x:f>
        <x:v>35505.211114121055</x:v>
      </x:c>
      <x:c r="C38" s="103" t="n">
        <x:f>'24-Month Plan'!T44</x:f>
        <x:v>603.8325603006633</x:v>
      </x:c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</x:row>
    <x:row r="39">
      <x:c r="A39" s="102" t="d">
        <x:v>2028-06-01T00:00:00.000Z</x:v>
      </x:c>
      <x:c r="B39" s="103" t="n">
        <x:f>'24-Month Plan'!U17</x:f>
        <x:v>38022.784387028914</x:v>
      </x:c>
      <x:c r="C39" s="103" t="n">
        <x:f>'24-Month Plan'!U44</x:f>
        <x:v>2150.9198472520256</x:v>
      </x:c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</x:row>
    <x:row r="40">
      <x:c r="A40" s="102" t="d">
        <x:v>2028-07-01T00:00:00.000Z</x:v>
      </x:c>
      <x:c r="B40" s="103" t="n">
        <x:f>'24-Month Plan'!V17</x:f>
        <x:v>40655.59387449309</x:v>
      </x:c>
      <x:c r="C40" s="103" t="n">
        <x:f>'24-Month Plan'!V44</x:f>
        <x:v>3762.252371420491</x:v>
      </x:c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</x:row>
    <x:row r="41">
      <x:c r="A41" s="102" t="d">
        <x:v>2028-08-01T00:00:00.000Z</x:v>
      </x:c>
      <x:c r="B41" s="103" t="n">
        <x:f>'24-Month Plan'!W17</x:f>
        <x:v>43410.55374938691</x:v>
      </x:c>
      <x:c r="C41" s="103" t="n">
        <x:f>'24-Month Plan'!W44</x:f>
        <x:v>5441.6848470390505</x:v>
      </x:c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</x:row>
    <x:row r="42">
      <x:c r="A42" s="102" t="d">
        <x:v>2028-09-01T00:00:00.000Z</x:v>
      </x:c>
      <x:c r="B42" s="103" t="n">
        <x:f>'24-Month Plan'!X17</x:f>
        <x:v>46294.99303495619</x:v>
      </x:c>
      <x:c r="C42" s="103" t="n">
        <x:f>'24-Month Plan'!X44</x:f>
        <x:v>7193.303271194731</x:v>
      </x:c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</x:row>
    <x:row r="43">
      <x:c r="A43" s="102" t="d">
        <x:v>2028-10-01T00:00:00.000Z</x:v>
      </x:c>
      <x:c r="B43" s="103" t="n">
        <x:f>'24-Month Plan'!Y17</x:f>
        <x:v>49316.68049584144</x:v>
      </x:c>
      <x:c r="C43" s="103" t="n">
        <x:f>'24-Month Plan'!Y44</x:f>
        <x:v>9021.438800799748</x:v>
      </x:c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</x:row>
  </x:sheetData>
  <x:mergeCells>
    <x:mergeCell ref="A2:I2"/>
    <x:mergeCell ref="A3:I3"/>
    <x:mergeCell ref="A5:I5"/>
    <x:mergeCell ref="A12:I12"/>
    <x:mergeCell ref="B13:I13"/>
    <x:mergeCell ref="B14:I14"/>
    <x:mergeCell ref="B15:I15"/>
    <x:mergeCell ref="B16:I16"/>
  </x:mergeCells>
  <x:pageMargins left="0.7" right="0.7" top="0.75" bottom="0.75" header="0.3" footer="0.3"/>
  <x:drawing xmlns:r="http://schemas.openxmlformats.org/officeDocument/2006/relationships" r:id="Rd3a9d4c74e8f4cdf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5" hidden="0" customWidth="1"/>
    <x:col min="7" max="7" width="48" hidden="0" customWidth="1"/>
    <x:col min="8" max="8" width="13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 ht="28" customHeight="1">
      <x:c r="A2" s="4" t="str">
        <x:v>Lame Brain Ideas - Launch assumptions</x:v>
      </x:c>
      <x:c r="B2" s="4"/>
      <x:c r="C2" s="4"/>
      <x:c r="D2" s="4"/>
      <x:c r="E2" s="4"/>
      <x:c r="F2" s="4"/>
      <x:c r="G2" s="4"/>
      <x:c r="H2" s="4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</x:row>
    <x:row r="3" ht="20" customHeight="1">
      <x:c r="A3" s="6" t="str">
        <x:v>Management case for a lean pop-up and digital studio. Blue cells are editable hypotheses.</x:v>
      </x:c>
      <x:c r="B3" s="6"/>
      <x:c r="C3" s="6"/>
      <x:c r="D3" s="6"/>
      <x:c r="E3" s="6"/>
      <x:c r="F3" s="6"/>
      <x:c r="G3" s="6"/>
      <x:c r="H3" s="6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</x:row>
    <x:row r="4">
      <x:c r="A4" s="101"/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</x:row>
    <x:row r="5">
      <x:c r="A5" s="101" t="str">
        <x:v>Model date</x:v>
      </x:c>
      <x:c r="B5" s="104" t="d">
        <x:v>2026-10-07T00:00:00.000Z</x:v>
      </x:c>
      <x:c r="C5" s="101"/>
      <x:c r="D5" s="101"/>
      <x:c r="E5" s="101"/>
      <x:c r="F5" s="101"/>
      <x:c r="G5" s="101"/>
      <x:c r="H5" s="10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</x:row>
    <x:row r="6">
      <x:c r="A6" s="101" t="str">
        <x:v>Pilot start</x:v>
      </x:c>
      <x:c r="B6" s="104" t="d">
        <x:v>2026-11-01T00:00:00.000Z</x:v>
      </x:c>
      <x:c r="C6" s="101"/>
      <x:c r="D6" s="101"/>
      <x:c r="E6" s="101"/>
      <x:c r="F6" s="101"/>
      <x:c r="G6" s="101"/>
      <x:c r="H6" s="10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</x:row>
    <x:row r="7">
      <x:c r="A7" s="101" t="str">
        <x:v>Forecast horizon (months)</x:v>
      </x:c>
      <x:c r="B7" s="105" t="n">
        <x:v>24</x:v>
      </x:c>
      <x:c r="C7" s="101"/>
      <x:c r="D7" s="101"/>
      <x:c r="E7" s="101"/>
      <x:c r="F7" s="101"/>
      <x:c r="G7" s="101"/>
      <x:c r="H7" s="101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</x:row>
    <x:row r="8">
      <x:c r="A8" s="101" t="str">
        <x:v>Minimum cash buffer</x:v>
      </x:c>
      <x:c r="B8" s="106" t="n">
        <x:v>25000</x:v>
      </x:c>
      <x:c r="C8" s="101"/>
      <x:c r="D8" s="101"/>
      <x:c r="E8" s="101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</x:row>
    <x:row r="9">
      <x:c r="A9" s="101" t="str">
        <x:v>Model scope</x:v>
      </x:c>
      <x:c r="B9" s="105" t="str">
        <x:v>Studio, workshops, membership, and media only</x:v>
      </x:c>
      <x:c r="C9" s="101"/>
      <x:c r="D9" s="101"/>
      <x:c r="E9" s="101"/>
      <x:c r="F9" s="101"/>
      <x:c r="G9" s="101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</x:row>
    <x:row r="10">
      <x:c r="A10" s="101"/>
      <x:c r="B10" s="101"/>
      <x:c r="C10" s="101"/>
      <x:c r="D10" s="101"/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</x:row>
    <x:row r="11">
      <x:c r="A11" s="101"/>
      <x:c r="B11" s="101"/>
      <x:c r="C11" s="101"/>
      <x:c r="D11" s="101"/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</x:row>
    <x:row r="12" ht="21" customHeight="1">
      <x:c r="A12" s="20" t="str">
        <x:v>Offer economics</x:v>
      </x:c>
      <x:c r="B12" s="21"/>
      <x:c r="C12" s="21"/>
      <x:c r="D12" s="21"/>
      <x:c r="E12" s="21"/>
      <x:c r="F12" s="21"/>
      <x:c r="G12" s="21"/>
      <x:c r="H12" s="22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</x:row>
    <x:row r="13" ht="26" customHeight="1">
      <x:c r="A13" s="34" t="str">
        <x:v>Offer</x:v>
      </x:c>
      <x:c r="B13" s="35" t="str">
        <x:v>Price</x:v>
      </x:c>
      <x:c r="C13" s="35" t="str">
        <x:v>Delivery hours</x:v>
      </x:c>
      <x:c r="D13" s="35" t="str">
        <x:v>Materials %</x:v>
      </x:c>
      <x:c r="E13" s="35" t="str">
        <x:v>Payment %</x:v>
      </x:c>
      <x:c r="F13" s="35" t="str">
        <x:v>Engagement mix</x:v>
      </x:c>
      <x:c r="G13" s="36" t="str">
        <x:v>Purpose</x:v>
      </x:c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</x:row>
    <x:row r="14">
      <x:c r="A14" s="101" t="str">
        <x:v>Quick Diagnostic</x:v>
      </x:c>
      <x:c r="B14" s="106" t="n">
        <x:v>125</x:v>
      </x:c>
      <x:c r="C14" s="107" t="n">
        <x:v>1.25</x:v>
      </x:c>
      <x:c r="D14" s="108" t="n">
        <x:v>0.02</x:v>
      </x:c>
      <x:c r="E14" s="108" t="n">
        <x:v>0.03</x:v>
      </x:c>
      <x:c r="F14" s="108" t="n">
        <x:v>0.25</x:v>
      </x:c>
      <x:c r="G14" s="101" t="str">
        <x:v>Clarify the idea, risk, and next responsible step</x:v>
      </x:c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</x:row>
    <x:row r="15">
      <x:c r="A15" s="101" t="str">
        <x:v>Idea Sprint</x:v>
      </x:c>
      <x:c r="B15" s="106" t="n">
        <x:v>750</x:v>
      </x:c>
      <x:c r="C15" s="107" t="n">
        <x:v>4</x:v>
      </x:c>
      <x:c r="D15" s="108" t="n">
        <x:v>0.08</x:v>
      </x:c>
      <x:c r="E15" s="108" t="n">
        <x:v>0.03</x:v>
      </x:c>
      <x:c r="F15" s="108" t="n">
        <x:v>0.35</x:v>
      </x:c>
      <x:c r="G15" s="101" t="str">
        <x:v>Define the customer, offer, evidence plan, and economics</x:v>
      </x:c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</x:row>
    <x:row r="16">
      <x:c r="A16" s="101" t="str">
        <x:v>Venture Build</x:v>
      </x:c>
      <x:c r="B16" s="106" t="n">
        <x:v>4200</x:v>
      </x:c>
      <x:c r="C16" s="107" t="n">
        <x:v>22</x:v>
      </x:c>
      <x:c r="D16" s="108" t="n">
        <x:v>0.14</x:v>
      </x:c>
      <x:c r="E16" s="108" t="n">
        <x:v>0.03</x:v>
      </x:c>
      <x:c r="F16" s="108" t="n">
        <x:v>0.25</x:v>
      </x:c>
      <x:c r="G16" s="101" t="str">
        <x:v>Build the research, operating plan, model, and launch brief</x:v>
      </x:c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</x:row>
    <x:row r="17">
      <x:c r="A17" s="101" t="str">
        <x:v>Partner Workshop</x:v>
      </x:c>
      <x:c r="B17" s="106" t="n">
        <x:v>2500</x:v>
      </x:c>
      <x:c r="C17" s="107" t="n">
        <x:v>10</x:v>
      </x:c>
      <x:c r="D17" s="108" t="n">
        <x:v>0.1</x:v>
      </x:c>
      <x:c r="E17" s="108" t="n">
        <x:v>0.03</x:v>
      </x:c>
      <x:c r="F17" s="108" t="n">
        <x:v>0.15</x:v>
      </x:c>
      <x:c r="G17" s="101" t="str">
        <x:v>Run a structured cohort for a host organization</x:v>
      </x:c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</x:row>
    <x:row r="18">
      <x:c r="A18" s="109" t="str">
        <x:v>Weighted offer economics</x:v>
      </x:c>
      <x:c r="B18" s="110" t="n">
        <x:f>SUMPRODUCT(B14:B17,F14:F17)</x:f>
        <x:v>1718.75</x:v>
      </x:c>
      <x:c r="C18" s="111" t="n">
        <x:f>SUMPRODUCT(C14:C17,F14:F17)</x:f>
        <x:v>8.7125</x:v>
      </x:c>
      <x:c r="D18" s="112" t="n">
        <x:f>SUMPRODUCT(D14:D17,F14:F17)</x:f>
        <x:v>0.083</x:v>
      </x:c>
      <x:c r="E18" s="112" t="n">
        <x:f>SUMPRODUCT(E14:E17,F14:F17)</x:f>
        <x:v>0.03</x:v>
      </x:c>
      <x:c r="F18" s="112" t="n">
        <x:f>SUM(F14:F17)</x:f>
        <x:v>1</x:v>
      </x:c>
      <x:c r="G18" s="109" t="str">
        <x:v>Mix must equal 100%</x:v>
      </x:c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</x:row>
    <x:row r="19">
      <x:c r="A19" s="101"/>
      <x:c r="B19" s="101"/>
      <x:c r="C19" s="101"/>
      <x:c r="D19" s="101"/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</x:row>
    <x:row r="20">
      <x:c r="A20" s="101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</x:row>
    <x:row r="21" ht="21" customHeight="1">
      <x:c r="A21" s="20" t="str">
        <x:v>Acquisition, membership, and delivery</x:v>
      </x:c>
      <x:c r="B21" s="21"/>
      <x:c r="C21" s="21"/>
      <x:c r="D21" s="21"/>
      <x:c r="E21" s="21"/>
      <x:c r="F21" s="21"/>
      <x:c r="G21" s="21"/>
      <x:c r="H21" s="22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</x:row>
    <x:row r="22">
      <x:c r="A22" s="101" t="str">
        <x:v>Month 1 qualified leads</x:v>
      </x:c>
      <x:c r="B22" s="113" t="n">
        <x:v>40</x:v>
      </x:c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</x:row>
    <x:row r="23">
      <x:c r="A23" s="101" t="str">
        <x:v>Monthly lead growth - Months 2-12</x:v>
      </x:c>
      <x:c r="B23" s="108" t="n">
        <x:v>0.09</x:v>
      </x:c>
      <x:c r="C23" s="101"/>
      <x:c r="D23" s="101"/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</x:row>
    <x:row r="24">
      <x:c r="A24" s="101" t="str">
        <x:v>Monthly lead growth - Months 13-24</x:v>
      </x:c>
      <x:c r="B24" s="108" t="n">
        <x:v>0.06</x:v>
      </x:c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</x:row>
    <x:row r="25">
      <x:c r="A25" s="101" t="str">
        <x:v>Discovery booking rate - Months 1-6</x:v>
      </x:c>
      <x:c r="B25" s="108" t="n">
        <x:v>0.25</x:v>
      </x:c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</x:row>
    <x:row r="26">
      <x:c r="A26" s="101" t="str">
        <x:v>Discovery booking rate - Months 7-12</x:v>
      </x:c>
      <x:c r="B26" s="108" t="n">
        <x:v>0.28</x:v>
      </x:c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</x:row>
    <x:row r="27">
      <x:c r="A27" s="101" t="str">
        <x:v>Discovery booking rate - Months 13-24</x:v>
      </x:c>
      <x:c r="B27" s="108" t="n">
        <x:v>0.3</x:v>
      </x:c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</x:row>
    <x:row r="28">
      <x:c r="A28" s="101" t="str">
        <x:v>Paid conversion - Months 1-6</x:v>
      </x:c>
      <x:c r="B28" s="108" t="n">
        <x:v>0.35</x:v>
      </x:c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</x:row>
    <x:row r="29">
      <x:c r="A29" s="101" t="str">
        <x:v>Paid conversion - Months 7-12</x:v>
      </x:c>
      <x:c r="B29" s="108" t="n">
        <x:v>0.38</x:v>
      </x:c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</x:row>
    <x:row r="30">
      <x:c r="A30" s="101" t="str">
        <x:v>Paid conversion - Months 13-24</x:v>
      </x:c>
      <x:c r="B30" s="108" t="n">
        <x:v>0.4</x:v>
      </x:c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</x:row>
    <x:row r="31">
      <x:c r="A31" s="101" t="str">
        <x:v>Delivery labor cost / hour</x:v>
      </x:c>
      <x:c r="B31" s="106" t="n">
        <x:v>65</x:v>
      </x:c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</x:row>
    <x:row r="32">
      <x:c r="A32" s="101" t="str">
        <x:v>Membership launch month</x:v>
      </x:c>
      <x:c r="B32" s="113" t="n">
        <x:v>13</x:v>
      </x:c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</x:row>
    <x:row r="33">
      <x:c r="A33" s="101" t="str">
        <x:v>Membership price / month</x:v>
      </x:c>
      <x:c r="B33" s="106" t="n">
        <x:v>29</x:v>
      </x:c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</x:row>
    <x:row r="34">
      <x:c r="A34" s="101" t="str">
        <x:v>Month 13 active members</x:v>
      </x:c>
      <x:c r="B34" s="113" t="n">
        <x:v>20</x:v>
      </x:c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</x:row>
    <x:row r="35">
      <x:c r="A35" s="101" t="str">
        <x:v>Month 24 active members</x:v>
      </x:c>
      <x:c r="B35" s="113" t="n">
        <x:v>120</x:v>
      </x:c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</x:row>
    <x:row r="36">
      <x:c r="A36" s="101" t="str">
        <x:v>Media sponsorship launch month</x:v>
      </x:c>
      <x:c r="B36" s="113" t="n">
        <x:v>18</x:v>
      </x:c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</x:row>
    <x:row r="37">
      <x:c r="A37" s="101" t="str">
        <x:v>First sponsorship month revenue</x:v>
      </x:c>
      <x:c r="B37" s="106" t="n">
        <x:v>1000</x:v>
      </x:c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</x:row>
    <x:row r="38">
      <x:c r="A38" s="101" t="str">
        <x:v>Month 24 sponsorship revenue</x:v>
      </x:c>
      <x:c r="B38" s="106" t="n">
        <x:v>3000</x:v>
      </x:c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</x:row>
    <x:row r="39">
      <x:c r="A39" s="101" t="str">
        <x:v>Membership direct cost %</x:v>
      </x:c>
      <x:c r="B39" s="108" t="n">
        <x:v>0.2</x:v>
      </x:c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</x:row>
    <x:row r="42" ht="21" customHeight="1">
      <x:c r="A42" s="20" t="str">
        <x:v>Monthly operating expense levels</x:v>
      </x:c>
      <x:c r="B42" s="21"/>
      <x:c r="C42" s="21"/>
      <x:c r="D42" s="21"/>
      <x:c r="E42" s="21"/>
      <x:c r="F42" s="21"/>
      <x:c r="G42" s="21"/>
      <x:c r="H42" s="22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</x:row>
    <x:row r="43" ht="26" customHeight="1">
      <x:c r="A43" s="34" t="str">
        <x:v>Expense</x:v>
      </x:c>
      <x:c r="B43" s="35" t="str">
        <x:v>Months 1-3</x:v>
      </x:c>
      <x:c r="C43" s="35" t="str">
        <x:v>Months 4-12</x:v>
      </x:c>
      <x:c r="D43" s="36" t="str">
        <x:v>Months 13-24</x:v>
      </x:c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</x:row>
    <x:row r="44">
      <x:c r="A44" s="101" t="str">
        <x:v>Founder compensation</x:v>
      </x:c>
      <x:c r="B44" s="106" t="n">
        <x:v>5000</x:v>
      </x:c>
      <x:c r="C44" s="106" t="n">
        <x:v>6000</x:v>
      </x:c>
      <x:c r="D44" s="106" t="n">
        <x:v>7000</x:v>
      </x:c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</x:row>
    <x:row r="45">
      <x:c r="A45" s="101" t="str">
        <x:v>Operations / customer support</x:v>
      </x:c>
      <x:c r="B45" s="106" t="n">
        <x:v>0</x:v>
      </x:c>
      <x:c r="C45" s="106" t="n">
        <x:v>1500</x:v>
      </x:c>
      <x:c r="D45" s="106" t="n">
        <x:v>3000</x:v>
      </x:c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</x:row>
    <x:row r="46">
      <x:c r="A46" s="101" t="str">
        <x:v>Content production</x:v>
      </x:c>
      <x:c r="B46" s="106" t="n">
        <x:v>1500</x:v>
      </x:c>
      <x:c r="C46" s="106" t="n">
        <x:v>1500</x:v>
      </x:c>
      <x:c r="D46" s="106" t="n">
        <x:v>1500</x:v>
      </x:c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</x:row>
    <x:row r="47">
      <x:c r="A47" s="101" t="str">
        <x:v>Marketing</x:v>
      </x:c>
      <x:c r="B47" s="106" t="n">
        <x:v>1500</x:v>
      </x:c>
      <x:c r="C47" s="106" t="n">
        <x:v>2500</x:v>
      </x:c>
      <x:c r="D47" s="106" t="n">
        <x:v>3000</x:v>
      </x:c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</x:row>
    <x:row r="48">
      <x:c r="A48" s="101" t="str">
        <x:v>Technology</x:v>
      </x:c>
      <x:c r="B48" s="106" t="n">
        <x:v>600</x:v>
      </x:c>
      <x:c r="C48" s="106" t="n">
        <x:v>900</x:v>
      </x:c>
      <x:c r="D48" s="106" t="n">
        <x:v>1100</x:v>
      </x:c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</x:row>
    <x:row r="49">
      <x:c r="A49" s="101" t="str">
        <x:v>Legal, accounting, and insurance</x:v>
      </x:c>
      <x:c r="B49" s="106" t="n">
        <x:v>1200</x:v>
      </x:c>
      <x:c r="C49" s="106" t="n">
        <x:v>1500</x:v>
      </x:c>
      <x:c r="D49" s="106" t="n">
        <x:v>1800</x:v>
      </x:c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</x:row>
    <x:row r="50">
      <x:c r="A50" s="101" t="str">
        <x:v>Events and partner hosting</x:v>
      </x:c>
      <x:c r="B50" s="106" t="n">
        <x:v>1000</x:v>
      </x:c>
      <x:c r="C50" s="106" t="n">
        <x:v>1500</x:v>
      </x:c>
      <x:c r="D50" s="106" t="n">
        <x:v>2000</x:v>
      </x:c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</x:row>
    <x:row r="51">
      <x:c r="A51" s="101" t="str">
        <x:v>General and administrative</x:v>
      </x:c>
      <x:c r="B51" s="106" t="n">
        <x:v>500</x:v>
      </x:c>
      <x:c r="C51" s="106" t="n">
        <x:v>500</x:v>
      </x:c>
      <x:c r="D51" s="106" t="n">
        <x:v>600</x:v>
      </x:c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</x:row>
    <x:row r="54" ht="21" customHeight="1">
      <x:c r="A54" s="20" t="str">
        <x:v>Delivery capacity and media cost</x:v>
      </x:c>
      <x:c r="B54" s="21"/>
      <x:c r="C54" s="21"/>
      <x:c r="D54" s="21"/>
      <x:c r="E54" s="21"/>
      <x:c r="F54" s="21"/>
      <x:c r="G54" s="21"/>
      <x:c r="H54" s="22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</x:row>
    <x:row r="55" ht="26" customHeight="1">
      <x:c r="A55" s="34" t="str">
        <x:v>Period</x:v>
      </x:c>
      <x:c r="B55" s="35" t="str">
        <x:v>Months 1-6</x:v>
      </x:c>
      <x:c r="C55" s="35" t="str">
        <x:v>Months 7-12</x:v>
      </x:c>
      <x:c r="D55" s="36" t="str">
        <x:v>Months 13-24</x:v>
      </x:c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</x:row>
    <x:row r="56">
      <x:c r="A56" s="101" t="str">
        <x:v>Available delivery hours / month</x:v>
      </x:c>
      <x:c r="B56" s="113" t="n">
        <x:v>80</x:v>
      </x:c>
      <x:c r="C56" s="113" t="n">
        <x:v>140</x:v>
      </x:c>
      <x:c r="D56" s="113" t="n">
        <x:v>260</x:v>
      </x:c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</x:row>
    <x:row r="57">
      <x:c r="A57" s="101" t="str">
        <x:v>Media direct cost %</x:v>
      </x:c>
      <x:c r="B57" s="108" t="n">
        <x:v>0.15</x:v>
      </x:c>
      <x:c r="C57" s="108" t="n">
        <x:v>0.15</x:v>
      </x:c>
      <x:c r="D57" s="108" t="n">
        <x:v>0.15</x:v>
      </x:c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</x:row>
    <x:row r="60" ht="21" customHeight="1">
      <x:c r="A60" s="20" t="str">
        <x:v>Prelaunch uses</x:v>
      </x:c>
      <x:c r="B60" s="21"/>
      <x:c r="C60" s="21"/>
      <x:c r="D60" s="21"/>
      <x:c r="E60" s="21"/>
      <x:c r="F60" s="21"/>
      <x:c r="G60" s="21"/>
      <x:c r="H60" s="22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</x:row>
    <x:row r="61">
      <x:c r="A61" s="101" t="str">
        <x:v>Entity, contracts, privacy, and IP setup</x:v>
      </x:c>
      <x:c r="B61" s="106" t="n">
        <x:v>15000</x:v>
      </x:c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</x:row>
    <x:row r="62">
      <x:c r="A62" s="101" t="str">
        <x:v>Brand and public website</x:v>
      </x:c>
      <x:c r="B62" s="106" t="n">
        <x:v>8000</x:v>
      </x:c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</x:row>
    <x:row r="63">
      <x:c r="A63" s="101" t="str">
        <x:v>Insurance and deposits</x:v>
      </x:c>
      <x:c r="B63" s="106" t="n">
        <x:v>6000</x:v>
      </x:c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</x:row>
    <x:row r="64">
      <x:c r="A64" s="101" t="str">
        <x:v>Portable studio and recording equipment</x:v>
      </x:c>
      <x:c r="B64" s="106" t="n">
        <x:v>12000</x:v>
      </x:c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</x:row>
    <x:row r="65">
      <x:c r="A65" s="101" t="str">
        <x:v>Initial content season</x:v>
      </x:c>
      <x:c r="B65" s="106" t="n">
        <x:v>9000</x:v>
      </x:c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</x:row>
    <x:row r="66">
      <x:c r="A66" s="101" t="str">
        <x:v>Pilot events and partner support</x:v>
      </x:c>
      <x:c r="B66" s="106" t="n">
        <x:v>10000</x:v>
      </x:c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</x:row>
    <x:row r="67">
      <x:c r="A67" s="101" t="str">
        <x:v>Research, accessibility, and testing</x:v>
      </x:c>
      <x:c r="B67" s="106" t="n">
        <x:v>8000</x:v>
      </x:c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</x:row>
    <x:row r="68">
      <x:c r="A68" s="101" t="str">
        <x:v>Contingency</x:v>
      </x:c>
      <x:c r="B68" s="106" t="n">
        <x:v>7000</x:v>
      </x:c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</x:row>
    <x:row r="69">
      <x:c r="A69" s="114" t="str">
        <x:v>Total prelaunch uses</x:v>
      </x:c>
      <x:c r="B69" s="115" t="n">
        <x:f>SUM(B61:B68)</x:f>
        <x:v>75000</x:v>
      </x:c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</x:row>
  </x:sheetData>
  <x:mergeCells>
    <x:mergeCell ref="A2:H2"/>
    <x:mergeCell ref="A3:H3"/>
    <x:mergeCell ref="A12:H12"/>
    <x:mergeCell ref="A21:H21"/>
    <x:mergeCell ref="A42:H42"/>
    <x:mergeCell ref="A54:H54"/>
    <x:mergeCell ref="A60:H6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 ht="28" customHeight="1">
      <x:c r="A2" s="4" t="str">
        <x:v>Lame Brain Ideas - 24-month operating plan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101"/>
    </x:row>
    <x:row r="3" ht="20" customHeight="1">
      <x:c r="A3" s="6" t="str">
        <x:v>Monthly management case. No storefront lease, crowdfunding fees, investor memberships, or transaction compensation.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101"/>
    </x:row>
    <x:row r="4" ht="26" customHeight="1">
      <x:c r="A4" s="34" t="str">
        <x:v>Month</x:v>
      </x:c>
      <x:c r="B4" s="58" t="d">
        <x:v>2026-11-01T00:00:00.000Z</x:v>
      </x:c>
      <x:c r="C4" s="58" t="d">
        <x:v>2026-12-01T00:00:00.000Z</x:v>
      </x:c>
      <x:c r="D4" s="58" t="d">
        <x:v>2027-01-01T00:00:00.000Z</x:v>
      </x:c>
      <x:c r="E4" s="58" t="d">
        <x:v>2027-02-01T00:00:00.000Z</x:v>
      </x:c>
      <x:c r="F4" s="58" t="d">
        <x:v>2027-03-01T00:00:00.000Z</x:v>
      </x:c>
      <x:c r="G4" s="58" t="d">
        <x:v>2027-04-01T00:00:00.000Z</x:v>
      </x:c>
      <x:c r="H4" s="58" t="d">
        <x:v>2027-05-01T00:00:00.000Z</x:v>
      </x:c>
      <x:c r="I4" s="58" t="d">
        <x:v>2027-06-01T00:00:00.000Z</x:v>
      </x:c>
      <x:c r="J4" s="58" t="d">
        <x:v>2027-07-01T00:00:00.000Z</x:v>
      </x:c>
      <x:c r="K4" s="58" t="d">
        <x:v>2027-08-01T00:00:00.000Z</x:v>
      </x:c>
      <x:c r="L4" s="58" t="d">
        <x:v>2027-09-01T00:00:00.000Z</x:v>
      </x:c>
      <x:c r="M4" s="58" t="d">
        <x:v>2027-10-01T00:00:00.000Z</x:v>
      </x:c>
      <x:c r="N4" s="58" t="d">
        <x:v>2027-11-01T00:00:00.000Z</x:v>
      </x:c>
      <x:c r="O4" s="58" t="d">
        <x:v>2027-12-01T00:00:00.000Z</x:v>
      </x:c>
      <x:c r="P4" s="58" t="d">
        <x:v>2028-01-01T00:00:00.000Z</x:v>
      </x:c>
      <x:c r="Q4" s="58" t="d">
        <x:v>2028-02-01T00:00:00.000Z</x:v>
      </x:c>
      <x:c r="R4" s="58" t="d">
        <x:v>2028-03-01T00:00:00.000Z</x:v>
      </x:c>
      <x:c r="S4" s="58" t="d">
        <x:v>2028-04-01T00:00:00.000Z</x:v>
      </x:c>
      <x:c r="T4" s="58" t="d">
        <x:v>2028-05-01T00:00:00.000Z</x:v>
      </x:c>
      <x:c r="U4" s="58" t="d">
        <x:v>2028-06-01T00:00:00.000Z</x:v>
      </x:c>
      <x:c r="V4" s="58" t="d">
        <x:v>2028-07-01T00:00:00.000Z</x:v>
      </x:c>
      <x:c r="W4" s="58" t="d">
        <x:v>2028-08-01T00:00:00.000Z</x:v>
      </x:c>
      <x:c r="X4" s="58" t="d">
        <x:v>2028-09-01T00:00:00.000Z</x:v>
      </x:c>
      <x:c r="Y4" s="59" t="d">
        <x:v>2028-10-01T00:00:00.000Z</x:v>
      </x:c>
      <x:c r="Z4" s="101"/>
    </x:row>
    <x:row r="5" ht="21" customHeight="1">
      <x:c r="A5" s="20" t="str">
        <x:v>Demand and revenue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2"/>
      <x:c r="Z5" s="101"/>
    </x:row>
    <x:row r="6">
      <x:c r="A6" s="101" t="str">
        <x:v>Qualified leads</x:v>
      </x:c>
      <x:c r="B6" s="116" t="n">
        <x:f>'Assumptions'!$B$22</x:f>
        <x:v>40</x:v>
      </x:c>
      <x:c r="C6" s="116" t="n">
        <x:f>B6*(1+'Assumptions'!$B$23)</x:f>
        <x:v>43.6</x:v>
      </x:c>
      <x:c r="D6" s="116" t="n">
        <x:f>C6*(1+'Assumptions'!$B$23)</x:f>
        <x:v>47.52400000000001</x:v>
      </x:c>
      <x:c r="E6" s="116" t="n">
        <x:f>D6*(1+'Assumptions'!$B$23)</x:f>
        <x:v>51.80116000000001</x:v>
      </x:c>
      <x:c r="F6" s="116" t="n">
        <x:f>E6*(1+'Assumptions'!$B$23)</x:f>
        <x:v>56.463264400000014</x:v>
      </x:c>
      <x:c r="G6" s="116" t="n">
        <x:f>F6*(1+'Assumptions'!$B$23)</x:f>
        <x:v>61.54495819600002</x:v>
      </x:c>
      <x:c r="H6" s="116" t="n">
        <x:f>G6*(1+'Assumptions'!$B$23)</x:f>
        <x:v>67.08400443364002</x:v>
      </x:c>
      <x:c r="I6" s="116" t="n">
        <x:f>H6*(1+'Assumptions'!$B$23)</x:f>
        <x:v>73.12156483266763</x:v>
      </x:c>
      <x:c r="J6" s="116" t="n">
        <x:f>I6*(1+'Assumptions'!$B$23)</x:f>
        <x:v>79.70250566760772</x:v>
      </x:c>
      <x:c r="K6" s="116" t="n">
        <x:f>J6*(1+'Assumptions'!$B$23)</x:f>
        <x:v>86.87573117769243</x:v>
      </x:c>
      <x:c r="L6" s="116" t="n">
        <x:f>K6*(1+'Assumptions'!$B$23)</x:f>
        <x:v>94.69454698368476</x:v>
      </x:c>
      <x:c r="M6" s="116" t="n">
        <x:f>L6*(1+'Assumptions'!$B$23)</x:f>
        <x:v>103.21705621221639</x:v>
      </x:c>
      <x:c r="N6" s="116" t="n">
        <x:f>M6*(1+'Assumptions'!$B$24)</x:f>
        <x:v>109.41007958494939</x:v>
      </x:c>
      <x:c r="O6" s="116" t="n">
        <x:f>N6*(1+'Assumptions'!$B$24)</x:f>
        <x:v>115.97468436004635</x:v>
      </x:c>
      <x:c r="P6" s="116" t="n">
        <x:f>O6*(1+'Assumptions'!$B$24)</x:f>
        <x:v>122.93316542164914</x:v>
      </x:c>
      <x:c r="Q6" s="116" t="n">
        <x:f>P6*(1+'Assumptions'!$B$24)</x:f>
        <x:v>130.3091553469481</x:v>
      </x:c>
      <x:c r="R6" s="116" t="n">
        <x:f>Q6*(1+'Assumptions'!$B$24)</x:f>
        <x:v>138.127704667765</x:v>
      </x:c>
      <x:c r="S6" s="116" t="n">
        <x:f>R6*(1+'Assumptions'!$B$24)</x:f>
        <x:v>146.4153669478309</x:v>
      </x:c>
      <x:c r="T6" s="116" t="n">
        <x:f>S6*(1+'Assumptions'!$B$24)</x:f>
        <x:v>155.20028896470077</x:v>
      </x:c>
      <x:c r="U6" s="116" t="n">
        <x:f>T6*(1+'Assumptions'!$B$24)</x:f>
        <x:v>164.51230630258283</x:v>
      </x:c>
      <x:c r="V6" s="116" t="n">
        <x:f>U6*(1+'Assumptions'!$B$24)</x:f>
        <x:v>174.3830446807378</x:v>
      </x:c>
      <x:c r="W6" s="116" t="n">
        <x:f>V6*(1+'Assumptions'!$B$24)</x:f>
        <x:v>184.8460273615821</x:v>
      </x:c>
      <x:c r="X6" s="116" t="n">
        <x:f>W6*(1+'Assumptions'!$B$24)</x:f>
        <x:v>195.93678900327703</x:v>
      </x:c>
      <x:c r="Y6" s="116" t="n">
        <x:f>X6*(1+'Assumptions'!$B$24)</x:f>
        <x:v>207.69299634347365</x:v>
      </x:c>
      <x:c r="Z6" s="101"/>
    </x:row>
    <x:row r="7">
      <x:c r="A7" s="101" t="str">
        <x:v>Discovery booking rate</x:v>
      </x:c>
      <x:c r="B7" s="117" t="n">
        <x:f>'Assumptions'!$B$25</x:f>
        <x:v>0.25</x:v>
      </x:c>
      <x:c r="C7" s="117" t="n">
        <x:f>'Assumptions'!$B$25</x:f>
        <x:v>0.25</x:v>
      </x:c>
      <x:c r="D7" s="117" t="n">
        <x:f>'Assumptions'!$B$25</x:f>
        <x:v>0.25</x:v>
      </x:c>
      <x:c r="E7" s="117" t="n">
        <x:f>'Assumptions'!$B$25</x:f>
        <x:v>0.25</x:v>
      </x:c>
      <x:c r="F7" s="117" t="n">
        <x:f>'Assumptions'!$B$25</x:f>
        <x:v>0.25</x:v>
      </x:c>
      <x:c r="G7" s="117" t="n">
        <x:f>'Assumptions'!$B$25</x:f>
        <x:v>0.25</x:v>
      </x:c>
      <x:c r="H7" s="117" t="n">
        <x:f>'Assumptions'!$B$26</x:f>
        <x:v>0.28</x:v>
      </x:c>
      <x:c r="I7" s="117" t="n">
        <x:f>'Assumptions'!$B$26</x:f>
        <x:v>0.28</x:v>
      </x:c>
      <x:c r="J7" s="117" t="n">
        <x:f>'Assumptions'!$B$26</x:f>
        <x:v>0.28</x:v>
      </x:c>
      <x:c r="K7" s="117" t="n">
        <x:f>'Assumptions'!$B$26</x:f>
        <x:v>0.28</x:v>
      </x:c>
      <x:c r="L7" s="117" t="n">
        <x:f>'Assumptions'!$B$26</x:f>
        <x:v>0.28</x:v>
      </x:c>
      <x:c r="M7" s="117" t="n">
        <x:f>'Assumptions'!$B$26</x:f>
        <x:v>0.28</x:v>
      </x:c>
      <x:c r="N7" s="117" t="n">
        <x:f>'Assumptions'!$B$27</x:f>
        <x:v>0.3</x:v>
      </x:c>
      <x:c r="O7" s="117" t="n">
        <x:f>'Assumptions'!$B$27</x:f>
        <x:v>0.3</x:v>
      </x:c>
      <x:c r="P7" s="117" t="n">
        <x:f>'Assumptions'!$B$27</x:f>
        <x:v>0.3</x:v>
      </x:c>
      <x:c r="Q7" s="117" t="n">
        <x:f>'Assumptions'!$B$27</x:f>
        <x:v>0.3</x:v>
      </x:c>
      <x:c r="R7" s="117" t="n">
        <x:f>'Assumptions'!$B$27</x:f>
        <x:v>0.3</x:v>
      </x:c>
      <x:c r="S7" s="117" t="n">
        <x:f>'Assumptions'!$B$27</x:f>
        <x:v>0.3</x:v>
      </x:c>
      <x:c r="T7" s="117" t="n">
        <x:f>'Assumptions'!$B$27</x:f>
        <x:v>0.3</x:v>
      </x:c>
      <x:c r="U7" s="117" t="n">
        <x:f>'Assumptions'!$B$27</x:f>
        <x:v>0.3</x:v>
      </x:c>
      <x:c r="V7" s="117" t="n">
        <x:f>'Assumptions'!$B$27</x:f>
        <x:v>0.3</x:v>
      </x:c>
      <x:c r="W7" s="117" t="n">
        <x:f>'Assumptions'!$B$27</x:f>
        <x:v>0.3</x:v>
      </x:c>
      <x:c r="X7" s="117" t="n">
        <x:f>'Assumptions'!$B$27</x:f>
        <x:v>0.3</x:v>
      </x:c>
      <x:c r="Y7" s="117" t="n">
        <x:f>'Assumptions'!$B$27</x:f>
        <x:v>0.3</x:v>
      </x:c>
      <x:c r="Z7" s="101"/>
    </x:row>
    <x:row r="8">
      <x:c r="A8" s="101" t="str">
        <x:v>Discovery calls</x:v>
      </x:c>
      <x:c r="B8" s="118" t="n">
        <x:f>B6*B7</x:f>
        <x:v>10</x:v>
      </x:c>
      <x:c r="C8" s="118" t="n">
        <x:f>C6*C7</x:f>
        <x:v>10.9</x:v>
      </x:c>
      <x:c r="D8" s="118" t="n">
        <x:f>D6*D7</x:f>
        <x:v>11.881000000000002</x:v>
      </x:c>
      <x:c r="E8" s="118" t="n">
        <x:f>E6*E7</x:f>
        <x:v>12.950290000000003</x:v>
      </x:c>
      <x:c r="F8" s="118" t="n">
        <x:f>F6*F7</x:f>
        <x:v>14.115816100000004</x:v>
      </x:c>
      <x:c r="G8" s="118" t="n">
        <x:f>G6*G7</x:f>
        <x:v>15.386239549000004</x:v>
      </x:c>
      <x:c r="H8" s="118" t="n">
        <x:f>H6*H7</x:f>
        <x:v>18.78352124141921</x:v>
      </x:c>
      <x:c r="I8" s="118" t="n">
        <x:f>I6*I7</x:f>
        <x:v>20.47403815314694</x:v>
      </x:c>
      <x:c r="J8" s="118" t="n">
        <x:f>J6*J7</x:f>
        <x:v>22.316701586930165</x:v>
      </x:c>
      <x:c r="K8" s="118" t="n">
        <x:f>K6*K7</x:f>
        <x:v>24.32520472975388</x:v>
      </x:c>
      <x:c r="L8" s="118" t="n">
        <x:f>L6*L7</x:f>
        <x:v>26.514473155431734</x:v>
      </x:c>
      <x:c r="M8" s="118" t="n">
        <x:f>M6*M7</x:f>
        <x:v>28.90077573942059</x:v>
      </x:c>
      <x:c r="N8" s="118" t="n">
        <x:f>N6*N7</x:f>
        <x:v>32.823023875484814</x:v>
      </x:c>
      <x:c r="O8" s="118" t="n">
        <x:f>O6*O7</x:f>
        <x:v>34.792405308013905</x:v>
      </x:c>
      <x:c r="P8" s="118" t="n">
        <x:f>P6*P7</x:f>
        <x:v>36.87994962649474</x:v>
      </x:c>
      <x:c r="Q8" s="118" t="n">
        <x:f>Q6*Q7</x:f>
        <x:v>39.09274660408443</x:v>
      </x:c>
      <x:c r="R8" s="118" t="n">
        <x:f>R6*R7</x:f>
        <x:v>41.438311400329496</x:v>
      </x:c>
      <x:c r="S8" s="118" t="n">
        <x:f>S6*S7</x:f>
        <x:v>43.92461008434927</x:v>
      </x:c>
      <x:c r="T8" s="118" t="n">
        <x:f>T6*T7</x:f>
        <x:v>46.560086689410234</x:v>
      </x:c>
      <x:c r="U8" s="118" t="n">
        <x:f>U6*U7</x:f>
        <x:v>49.35369189077485</x:v>
      </x:c>
      <x:c r="V8" s="118" t="n">
        <x:f>V6*V7</x:f>
        <x:v>52.31491340422134</x:v>
      </x:c>
      <x:c r="W8" s="118" t="n">
        <x:f>W6*W7</x:f>
        <x:v>55.453808208474626</x:v>
      </x:c>
      <x:c r="X8" s="118" t="n">
        <x:f>X6*X7</x:f>
        <x:v>58.78103670098311</x:v>
      </x:c>
      <x:c r="Y8" s="118" t="n">
        <x:f>Y6*Y7</x:f>
        <x:v>62.307898903042094</x:v>
      </x:c>
      <x:c r="Z8" s="101"/>
    </x:row>
    <x:row r="9">
      <x:c r="A9" s="101" t="str">
        <x:v>Paid conversion</x:v>
      </x:c>
      <x:c r="B9" s="119" t="n">
        <x:f>'Assumptions'!$B$28</x:f>
        <x:v>0.35</x:v>
      </x:c>
      <x:c r="C9" s="119" t="n">
        <x:f>'Assumptions'!$B$28</x:f>
        <x:v>0.35</x:v>
      </x:c>
      <x:c r="D9" s="119" t="n">
        <x:f>'Assumptions'!$B$28</x:f>
        <x:v>0.35</x:v>
      </x:c>
      <x:c r="E9" s="119" t="n">
        <x:f>'Assumptions'!$B$28</x:f>
        <x:v>0.35</x:v>
      </x:c>
      <x:c r="F9" s="119" t="n">
        <x:f>'Assumptions'!$B$28</x:f>
        <x:v>0.35</x:v>
      </x:c>
      <x:c r="G9" s="119" t="n">
        <x:f>'Assumptions'!$B$28</x:f>
        <x:v>0.35</x:v>
      </x:c>
      <x:c r="H9" s="119" t="n">
        <x:f>'Assumptions'!$B$29</x:f>
        <x:v>0.38</x:v>
      </x:c>
      <x:c r="I9" s="119" t="n">
        <x:f>'Assumptions'!$B$29</x:f>
        <x:v>0.38</x:v>
      </x:c>
      <x:c r="J9" s="119" t="n">
        <x:f>'Assumptions'!$B$29</x:f>
        <x:v>0.38</x:v>
      </x:c>
      <x:c r="K9" s="119" t="n">
        <x:f>'Assumptions'!$B$29</x:f>
        <x:v>0.38</x:v>
      </x:c>
      <x:c r="L9" s="119" t="n">
        <x:f>'Assumptions'!$B$29</x:f>
        <x:v>0.38</x:v>
      </x:c>
      <x:c r="M9" s="119" t="n">
        <x:f>'Assumptions'!$B$29</x:f>
        <x:v>0.38</x:v>
      </x:c>
      <x:c r="N9" s="119" t="n">
        <x:f>'Assumptions'!$B$30</x:f>
        <x:v>0.4</x:v>
      </x:c>
      <x:c r="O9" s="119" t="n">
        <x:f>'Assumptions'!$B$30</x:f>
        <x:v>0.4</x:v>
      </x:c>
      <x:c r="P9" s="119" t="n">
        <x:f>'Assumptions'!$B$30</x:f>
        <x:v>0.4</x:v>
      </x:c>
      <x:c r="Q9" s="119" t="n">
        <x:f>'Assumptions'!$B$30</x:f>
        <x:v>0.4</x:v>
      </x:c>
      <x:c r="R9" s="119" t="n">
        <x:f>'Assumptions'!$B$30</x:f>
        <x:v>0.4</x:v>
      </x:c>
      <x:c r="S9" s="119" t="n">
        <x:f>'Assumptions'!$B$30</x:f>
        <x:v>0.4</x:v>
      </x:c>
      <x:c r="T9" s="119" t="n">
        <x:f>'Assumptions'!$B$30</x:f>
        <x:v>0.4</x:v>
      </x:c>
      <x:c r="U9" s="119" t="n">
        <x:f>'Assumptions'!$B$30</x:f>
        <x:v>0.4</x:v>
      </x:c>
      <x:c r="V9" s="119" t="n">
        <x:f>'Assumptions'!$B$30</x:f>
        <x:v>0.4</x:v>
      </x:c>
      <x:c r="W9" s="119" t="n">
        <x:f>'Assumptions'!$B$30</x:f>
        <x:v>0.4</x:v>
      </x:c>
      <x:c r="X9" s="119" t="n">
        <x:f>'Assumptions'!$B$30</x:f>
        <x:v>0.4</x:v>
      </x:c>
      <x:c r="Y9" s="119" t="n">
        <x:f>'Assumptions'!$B$30</x:f>
        <x:v>0.4</x:v>
      </x:c>
      <x:c r="Z9" s="101"/>
    </x:row>
    <x:row r="10">
      <x:c r="A10" s="101" t="str">
        <x:v>Paid engagements</x:v>
      </x:c>
      <x:c r="B10" s="118" t="n">
        <x:f>B8*B9</x:f>
        <x:v>3.5</x:v>
      </x:c>
      <x:c r="C10" s="118" t="n">
        <x:f>C8*C9</x:f>
        <x:v>3.815</x:v>
      </x:c>
      <x:c r="D10" s="118" t="n">
        <x:f>D8*D9</x:f>
        <x:v>4.15835</x:v>
      </x:c>
      <x:c r="E10" s="118" t="n">
        <x:f>E8*E9</x:f>
        <x:v>4.5326015</x:v>
      </x:c>
      <x:c r="F10" s="118" t="n">
        <x:f>F8*F9</x:f>
        <x:v>4.940535635000001</x:v>
      </x:c>
      <x:c r="G10" s="118" t="n">
        <x:f>G8*G9</x:f>
        <x:v>5.385183842150001</x:v>
      </x:c>
      <x:c r="H10" s="118" t="n">
        <x:f>H8*H9</x:f>
        <x:v>7.1377380717392995</x:v>
      </x:c>
      <x:c r="I10" s="118" t="n">
        <x:f>I8*I9</x:f>
        <x:v>7.780134498195837</x:v>
      </x:c>
      <x:c r="J10" s="118" t="n">
        <x:f>J8*J9</x:f>
        <x:v>8.480346603033462</x:v>
      </x:c>
      <x:c r="K10" s="118" t="n">
        <x:f>K8*K9</x:f>
        <x:v>9.243577797306475</x:v>
      </x:c>
      <x:c r="L10" s="118" t="n">
        <x:f>L8*L9</x:f>
        <x:v>10.075499799064058</x:v>
      </x:c>
      <x:c r="M10" s="118" t="n">
        <x:f>M8*M9</x:f>
        <x:v>10.982294780979824</x:v>
      </x:c>
      <x:c r="N10" s="118" t="n">
        <x:f>N8*N9</x:f>
        <x:v>13.129209550193927</x:v>
      </x:c>
      <x:c r="O10" s="118" t="n">
        <x:f>O8*O9</x:f>
        <x:v>13.916962123205563</x:v>
      </x:c>
      <x:c r="P10" s="118" t="n">
        <x:f>P8*P9</x:f>
        <x:v>14.751979850597898</x:v>
      </x:c>
      <x:c r="Q10" s="118" t="n">
        <x:f>Q8*Q9</x:f>
        <x:v>15.637098641633774</x:v>
      </x:c>
      <x:c r="R10" s="118" t="n">
        <x:f>R8*R9</x:f>
        <x:v>16.5753245601318</x:v>
      </x:c>
      <x:c r="S10" s="118" t="n">
        <x:f>S8*S9</x:f>
        <x:v>17.56984403373971</x:v>
      </x:c>
      <x:c r="T10" s="118" t="n">
        <x:f>T8*T9</x:f>
        <x:v>18.624034675764094</x:v>
      </x:c>
      <x:c r="U10" s="118" t="n">
        <x:f>U8*U9</x:f>
        <x:v>19.74147675630994</x:v>
      </x:c>
      <x:c r="V10" s="118" t="n">
        <x:f>V8*V9</x:f>
        <x:v>20.92596536168854</x:v>
      </x:c>
      <x:c r="W10" s="118" t="n">
        <x:f>W8*W9</x:f>
        <x:v>22.18152328338985</x:v>
      </x:c>
      <x:c r="X10" s="118" t="n">
        <x:f>X8*X9</x:f>
        <x:v>23.512414680393245</x:v>
      </x:c>
      <x:c r="Y10" s="118" t="n">
        <x:f>Y8*Y9</x:f>
        <x:v>24.92315956121684</x:v>
      </x:c>
      <x:c r="Z10" s="101"/>
    </x:row>
    <x:row r="11">
      <x:c r="A11" s="101" t="str">
        <x:v>Average service revenue / engagement</x:v>
      </x:c>
      <x:c r="B11" s="120" t="n">
        <x:f>'Assumptions'!$B$18</x:f>
        <x:v>1718.75</x:v>
      </x:c>
      <x:c r="C11" s="120" t="n">
        <x:f>'Assumptions'!$B$18</x:f>
        <x:v>1718.75</x:v>
      </x:c>
      <x:c r="D11" s="120" t="n">
        <x:f>'Assumptions'!$B$18</x:f>
        <x:v>1718.75</x:v>
      </x:c>
      <x:c r="E11" s="120" t="n">
        <x:f>'Assumptions'!$B$18</x:f>
        <x:v>1718.75</x:v>
      </x:c>
      <x:c r="F11" s="120" t="n">
        <x:f>'Assumptions'!$B$18</x:f>
        <x:v>1718.75</x:v>
      </x:c>
      <x:c r="G11" s="120" t="n">
        <x:f>'Assumptions'!$B$18</x:f>
        <x:v>1718.75</x:v>
      </x:c>
      <x:c r="H11" s="120" t="n">
        <x:f>'Assumptions'!$B$18</x:f>
        <x:v>1718.75</x:v>
      </x:c>
      <x:c r="I11" s="120" t="n">
        <x:f>'Assumptions'!$B$18</x:f>
        <x:v>1718.75</x:v>
      </x:c>
      <x:c r="J11" s="120" t="n">
        <x:f>'Assumptions'!$B$18</x:f>
        <x:v>1718.75</x:v>
      </x:c>
      <x:c r="K11" s="120" t="n">
        <x:f>'Assumptions'!$B$18</x:f>
        <x:v>1718.75</x:v>
      </x:c>
      <x:c r="L11" s="120" t="n">
        <x:f>'Assumptions'!$B$18</x:f>
        <x:v>1718.75</x:v>
      </x:c>
      <x:c r="M11" s="120" t="n">
        <x:f>'Assumptions'!$B$18</x:f>
        <x:v>1718.75</x:v>
      </x:c>
      <x:c r="N11" s="120" t="n">
        <x:f>'Assumptions'!$B$18</x:f>
        <x:v>1718.75</x:v>
      </x:c>
      <x:c r="O11" s="120" t="n">
        <x:f>'Assumptions'!$B$18</x:f>
        <x:v>1718.75</x:v>
      </x:c>
      <x:c r="P11" s="120" t="n">
        <x:f>'Assumptions'!$B$18</x:f>
        <x:v>1718.75</x:v>
      </x:c>
      <x:c r="Q11" s="120" t="n">
        <x:f>'Assumptions'!$B$18</x:f>
        <x:v>1718.75</x:v>
      </x:c>
      <x:c r="R11" s="120" t="n">
        <x:f>'Assumptions'!$B$18</x:f>
        <x:v>1718.75</x:v>
      </x:c>
      <x:c r="S11" s="120" t="n">
        <x:f>'Assumptions'!$B$18</x:f>
        <x:v>1718.75</x:v>
      </x:c>
      <x:c r="T11" s="120" t="n">
        <x:f>'Assumptions'!$B$18</x:f>
        <x:v>1718.75</x:v>
      </x:c>
      <x:c r="U11" s="120" t="n">
        <x:f>'Assumptions'!$B$18</x:f>
        <x:v>1718.75</x:v>
      </x:c>
      <x:c r="V11" s="120" t="n">
        <x:f>'Assumptions'!$B$18</x:f>
        <x:v>1718.75</x:v>
      </x:c>
      <x:c r="W11" s="120" t="n">
        <x:f>'Assumptions'!$B$18</x:f>
        <x:v>1718.75</x:v>
      </x:c>
      <x:c r="X11" s="120" t="n">
        <x:f>'Assumptions'!$B$18</x:f>
        <x:v>1718.75</x:v>
      </x:c>
      <x:c r="Y11" s="120" t="n">
        <x:f>'Assumptions'!$B$18</x:f>
        <x:v>1718.75</x:v>
      </x:c>
      <x:c r="Z11" s="101"/>
    </x:row>
    <x:row r="12">
      <x:c r="A12" s="101" t="str">
        <x:v>Service revenue</x:v>
      </x:c>
      <x:c r="B12" s="103" t="n">
        <x:f>B10*B11</x:f>
        <x:v>6015.625</x:v>
      </x:c>
      <x:c r="C12" s="103" t="n">
        <x:f>C10*C11</x:f>
        <x:v>6557.03125</x:v>
      </x:c>
      <x:c r="D12" s="103" t="n">
        <x:f>D10*D11</x:f>
        <x:v>7147.164062500001</x:v>
      </x:c>
      <x:c r="E12" s="103" t="n">
        <x:f>E10*E11</x:f>
        <x:v>7790.408828125001</x:v>
      </x:c>
      <x:c r="F12" s="103" t="n">
        <x:f>F10*F11</x:f>
        <x:v>8491.545622656251</x:v>
      </x:c>
      <x:c r="G12" s="103" t="n">
        <x:f>G10*G11</x:f>
        <x:v>9255.784728695315</x:v>
      </x:c>
      <x:c r="H12" s="103" t="n">
        <x:f>H10*H11</x:f>
        <x:v>12267.987310801922</x:v>
      </x:c>
      <x:c r="I12" s="103" t="n">
        <x:f>I10*I11</x:f>
        <x:v>13372.106168774095</x:v>
      </x:c>
      <x:c r="J12" s="103" t="n">
        <x:f>J10*J11</x:f>
        <x:v>14575.595723963763</x:v>
      </x:c>
      <x:c r="K12" s="103" t="n">
        <x:f>K10*K11</x:f>
        <x:v>15887.399339120504</x:v>
      </x:c>
      <x:c r="L12" s="103" t="n">
        <x:f>L10*L11</x:f>
        <x:v>17317.26527964135</x:v>
      </x:c>
      <x:c r="M12" s="103" t="n">
        <x:f>M10*M11</x:f>
        <x:v>18875.819154809073</x:v>
      </x:c>
      <x:c r="N12" s="103" t="n">
        <x:f>N10*N11</x:f>
        <x:v>22565.828914395814</x:v>
      </x:c>
      <x:c r="O12" s="103" t="n">
        <x:f>O10*O11</x:f>
        <x:v>23919.778649259562</x:v>
      </x:c>
      <x:c r="P12" s="103" t="n">
        <x:f>P10*P11</x:f>
        <x:v>25354.965368215137</x:v>
      </x:c>
      <x:c r="Q12" s="103" t="n">
        <x:f>Q10*Q11</x:f>
        <x:v>26876.26329030805</x:v>
      </x:c>
      <x:c r="R12" s="103" t="n">
        <x:f>R10*R11</x:f>
        <x:v>28488.839087726534</x:v>
      </x:c>
      <x:c r="S12" s="103" t="n">
        <x:f>S10*S11</x:f>
        <x:v>30198.169432990126</x:v>
      </x:c>
      <x:c r="T12" s="103" t="n">
        <x:f>T10*T11</x:f>
        <x:v>32010.059598969536</x:v>
      </x:c>
      <x:c r="U12" s="103" t="n">
        <x:f>U10*U11</x:f>
        <x:v>33930.663174907706</x:v>
      </x:c>
      <x:c r="V12" s="103" t="n">
        <x:f>V10*V11</x:f>
        <x:v>35966.50296540218</x:v>
      </x:c>
      <x:c r="W12" s="103" t="n">
        <x:f>W10*W11</x:f>
        <x:v>38124.493143326305</x:v>
      </x:c>
      <x:c r="X12" s="103" t="n">
        <x:f>X10*X11</x:f>
        <x:v>40411.96273192589</x:v>
      </x:c>
      <x:c r="Y12" s="103" t="n">
        <x:f>Y10*Y11</x:f>
        <x:v>42836.68049584144</x:v>
      </x:c>
      <x:c r="Z12" s="101"/>
    </x:row>
    <x:row r="13">
      <x:c r="A13" s="101" t="str">
        <x:v>Active members</x:v>
      </x:c>
      <x:c r="B13" s="116" t="n">
        <x:f>0</x:f>
        <x:v>0</x:v>
      </x:c>
      <x:c r="C13" s="116" t="n">
        <x:f>0</x:f>
        <x:v>0</x:v>
      </x:c>
      <x:c r="D13" s="116" t="n">
        <x:f>0</x:f>
        <x:v>0</x:v>
      </x:c>
      <x:c r="E13" s="116" t="n">
        <x:f>0</x:f>
        <x:v>0</x:v>
      </x:c>
      <x:c r="F13" s="116" t="n">
        <x:f>0</x:f>
        <x:v>0</x:v>
      </x:c>
      <x:c r="G13" s="116" t="n">
        <x:f>0</x:f>
        <x:v>0</x:v>
      </x:c>
      <x:c r="H13" s="116" t="n">
        <x:f>0</x:f>
        <x:v>0</x:v>
      </x:c>
      <x:c r="I13" s="116" t="n">
        <x:f>0</x:f>
        <x:v>0</x:v>
      </x:c>
      <x:c r="J13" s="116" t="n">
        <x:f>0</x:f>
        <x:v>0</x:v>
      </x:c>
      <x:c r="K13" s="116" t="n">
        <x:f>0</x:f>
        <x:v>0</x:v>
      </x:c>
      <x:c r="L13" s="116" t="n">
        <x:f>0</x:f>
        <x:v>0</x:v>
      </x:c>
      <x:c r="M13" s="116" t="n">
        <x:f>0</x:f>
        <x:v>0</x:v>
      </x:c>
      <x:c r="N13" s="116" t="n">
        <x:f>'Assumptions'!$B$34+(13-'Assumptions'!$B$32)*('Assumptions'!$B$35-'Assumptions'!$B$34)/(24-'Assumptions'!$B$32)</x:f>
        <x:v>20</x:v>
      </x:c>
      <x:c r="O13" s="116" t="n">
        <x:f>'Assumptions'!$B$34+(14-'Assumptions'!$B$32)*('Assumptions'!$B$35-'Assumptions'!$B$34)/(24-'Assumptions'!$B$32)</x:f>
        <x:v>29.090909090909093</x:v>
      </x:c>
      <x:c r="P13" s="116" t="n">
        <x:f>'Assumptions'!$B$34+(15-'Assumptions'!$B$32)*('Assumptions'!$B$35-'Assumptions'!$B$34)/(24-'Assumptions'!$B$32)</x:f>
        <x:v>38.18181818181819</x:v>
      </x:c>
      <x:c r="Q13" s="116" t="n">
        <x:f>'Assumptions'!$B$34+(16-'Assumptions'!$B$32)*('Assumptions'!$B$35-'Assumptions'!$B$34)/(24-'Assumptions'!$B$32)</x:f>
        <x:v>47.27272727272727</x:v>
      </x:c>
      <x:c r="R13" s="116" t="n">
        <x:f>'Assumptions'!$B$34+(17-'Assumptions'!$B$32)*('Assumptions'!$B$35-'Assumptions'!$B$34)/(24-'Assumptions'!$B$32)</x:f>
        <x:v>56.36363636363637</x:v>
      </x:c>
      <x:c r="S13" s="116" t="n">
        <x:f>'Assumptions'!$B$34+(18-'Assumptions'!$B$32)*('Assumptions'!$B$35-'Assumptions'!$B$34)/(24-'Assumptions'!$B$32)</x:f>
        <x:v>65.45454545454545</x:v>
      </x:c>
      <x:c r="T13" s="116" t="n">
        <x:f>'Assumptions'!$B$34+(19-'Assumptions'!$B$32)*('Assumptions'!$B$35-'Assumptions'!$B$34)/(24-'Assumptions'!$B$32)</x:f>
        <x:v>74.54545454545455</x:v>
      </x:c>
      <x:c r="U13" s="116" t="n">
        <x:f>'Assumptions'!$B$34+(20-'Assumptions'!$B$32)*('Assumptions'!$B$35-'Assumptions'!$B$34)/(24-'Assumptions'!$B$32)</x:f>
        <x:v>83.63636363636363</x:v>
      </x:c>
      <x:c r="V13" s="116" t="n">
        <x:f>'Assumptions'!$B$34+(21-'Assumptions'!$B$32)*('Assumptions'!$B$35-'Assumptions'!$B$34)/(24-'Assumptions'!$B$32)</x:f>
        <x:v>92.72727272727273</x:v>
      </x:c>
      <x:c r="W13" s="116" t="n">
        <x:f>'Assumptions'!$B$34+(22-'Assumptions'!$B$32)*('Assumptions'!$B$35-'Assumptions'!$B$34)/(24-'Assumptions'!$B$32)</x:f>
        <x:v>101.81818181818181</x:v>
      </x:c>
      <x:c r="X13" s="116" t="n">
        <x:f>'Assumptions'!$B$34+(23-'Assumptions'!$B$32)*('Assumptions'!$B$35-'Assumptions'!$B$34)/(24-'Assumptions'!$B$32)</x:f>
        <x:v>110.9090909090909</x:v>
      </x:c>
      <x:c r="Y13" s="116" t="n">
        <x:f>'Assumptions'!$B$34+(24-'Assumptions'!$B$32)*('Assumptions'!$B$35-'Assumptions'!$B$34)/(24-'Assumptions'!$B$32)</x:f>
        <x:v>120</x:v>
      </x:c>
      <x:c r="Z13" s="101"/>
    </x:row>
    <x:row r="14">
      <x:c r="A14" s="101" t="str">
        <x:v>Membership fee / month</x:v>
      </x:c>
      <x:c r="B14" s="120" t="n">
        <x:f>'Assumptions'!$B$33</x:f>
        <x:v>29</x:v>
      </x:c>
      <x:c r="C14" s="120" t="n">
        <x:f>'Assumptions'!$B$33</x:f>
        <x:v>29</x:v>
      </x:c>
      <x:c r="D14" s="120" t="n">
        <x:f>'Assumptions'!$B$33</x:f>
        <x:v>29</x:v>
      </x:c>
      <x:c r="E14" s="120" t="n">
        <x:f>'Assumptions'!$B$33</x:f>
        <x:v>29</x:v>
      </x:c>
      <x:c r="F14" s="120" t="n">
        <x:f>'Assumptions'!$B$33</x:f>
        <x:v>29</x:v>
      </x:c>
      <x:c r="G14" s="120" t="n">
        <x:f>'Assumptions'!$B$33</x:f>
        <x:v>29</x:v>
      </x:c>
      <x:c r="H14" s="120" t="n">
        <x:f>'Assumptions'!$B$33</x:f>
        <x:v>29</x:v>
      </x:c>
      <x:c r="I14" s="120" t="n">
        <x:f>'Assumptions'!$B$33</x:f>
        <x:v>29</x:v>
      </x:c>
      <x:c r="J14" s="120" t="n">
        <x:f>'Assumptions'!$B$33</x:f>
        <x:v>29</x:v>
      </x:c>
      <x:c r="K14" s="120" t="n">
        <x:f>'Assumptions'!$B$33</x:f>
        <x:v>29</x:v>
      </x:c>
      <x:c r="L14" s="120" t="n">
        <x:f>'Assumptions'!$B$33</x:f>
        <x:v>29</x:v>
      </x:c>
      <x:c r="M14" s="120" t="n">
        <x:f>'Assumptions'!$B$33</x:f>
        <x:v>29</x:v>
      </x:c>
      <x:c r="N14" s="120" t="n">
        <x:f>'Assumptions'!$B$33</x:f>
        <x:v>29</x:v>
      </x:c>
      <x:c r="O14" s="120" t="n">
        <x:f>'Assumptions'!$B$33</x:f>
        <x:v>29</x:v>
      </x:c>
      <x:c r="P14" s="120" t="n">
        <x:f>'Assumptions'!$B$33</x:f>
        <x:v>29</x:v>
      </x:c>
      <x:c r="Q14" s="120" t="n">
        <x:f>'Assumptions'!$B$33</x:f>
        <x:v>29</x:v>
      </x:c>
      <x:c r="R14" s="120" t="n">
        <x:f>'Assumptions'!$B$33</x:f>
        <x:v>29</x:v>
      </x:c>
      <x:c r="S14" s="120" t="n">
        <x:f>'Assumptions'!$B$33</x:f>
        <x:v>29</x:v>
      </x:c>
      <x:c r="T14" s="120" t="n">
        <x:f>'Assumptions'!$B$33</x:f>
        <x:v>29</x:v>
      </x:c>
      <x:c r="U14" s="120" t="n">
        <x:f>'Assumptions'!$B$33</x:f>
        <x:v>29</x:v>
      </x:c>
      <x:c r="V14" s="120" t="n">
        <x:f>'Assumptions'!$B$33</x:f>
        <x:v>29</x:v>
      </x:c>
      <x:c r="W14" s="120" t="n">
        <x:f>'Assumptions'!$B$33</x:f>
        <x:v>29</x:v>
      </x:c>
      <x:c r="X14" s="120" t="n">
        <x:f>'Assumptions'!$B$33</x:f>
        <x:v>29</x:v>
      </x:c>
      <x:c r="Y14" s="120" t="n">
        <x:f>'Assumptions'!$B$33</x:f>
        <x:v>29</x:v>
      </x:c>
      <x:c r="Z14" s="101"/>
    </x:row>
    <x:row r="15">
      <x:c r="A15" s="101" t="str">
        <x:v>Membership revenue</x:v>
      </x:c>
      <x:c r="B15" s="103" t="n">
        <x:f>B13*B14</x:f>
        <x:v>0</x:v>
      </x:c>
      <x:c r="C15" s="103" t="n">
        <x:f>C13*C14</x:f>
        <x:v>0</x:v>
      </x:c>
      <x:c r="D15" s="103" t="n">
        <x:f>D13*D14</x:f>
        <x:v>0</x:v>
      </x:c>
      <x:c r="E15" s="103" t="n">
        <x:f>E13*E14</x:f>
        <x:v>0</x:v>
      </x:c>
      <x:c r="F15" s="103" t="n">
        <x:f>F13*F14</x:f>
        <x:v>0</x:v>
      </x:c>
      <x:c r="G15" s="103" t="n">
        <x:f>G13*G14</x:f>
        <x:v>0</x:v>
      </x:c>
      <x:c r="H15" s="103" t="n">
        <x:f>H13*H14</x:f>
        <x:v>0</x:v>
      </x:c>
      <x:c r="I15" s="103" t="n">
        <x:f>I13*I14</x:f>
        <x:v>0</x:v>
      </x:c>
      <x:c r="J15" s="103" t="n">
        <x:f>J13*J14</x:f>
        <x:v>0</x:v>
      </x:c>
      <x:c r="K15" s="103" t="n">
        <x:f>K13*K14</x:f>
        <x:v>0</x:v>
      </x:c>
      <x:c r="L15" s="103" t="n">
        <x:f>L13*L14</x:f>
        <x:v>0</x:v>
      </x:c>
      <x:c r="M15" s="103" t="n">
        <x:f>M13*M14</x:f>
        <x:v>0</x:v>
      </x:c>
      <x:c r="N15" s="103" t="n">
        <x:f>N13*N14</x:f>
        <x:v>580</x:v>
      </x:c>
      <x:c r="O15" s="103" t="n">
        <x:f>O13*O14</x:f>
        <x:v>843.6363636363637</x:v>
      </x:c>
      <x:c r="P15" s="103" t="n">
        <x:f>P13*P14</x:f>
        <x:v>1107.2727272727275</x:v>
      </x:c>
      <x:c r="Q15" s="103" t="n">
        <x:f>Q13*Q14</x:f>
        <x:v>1370.909090909091</x:v>
      </x:c>
      <x:c r="R15" s="103" t="n">
        <x:f>R13*R14</x:f>
        <x:v>1634.5454545454547</x:v>
      </x:c>
      <x:c r="S15" s="103" t="n">
        <x:f>S13*S14</x:f>
        <x:v>1898.1818181818182</x:v>
      </x:c>
      <x:c r="T15" s="103" t="n">
        <x:f>T13*T14</x:f>
        <x:v>2161.818181818182</x:v>
      </x:c>
      <x:c r="U15" s="103" t="n">
        <x:f>U13*U14</x:f>
        <x:v>2425.454545454545</x:v>
      </x:c>
      <x:c r="V15" s="103" t="n">
        <x:f>V13*V14</x:f>
        <x:v>2689.0909090909095</x:v>
      </x:c>
      <x:c r="W15" s="103" t="n">
        <x:f>W13*W14</x:f>
        <x:v>2952.7272727272725</x:v>
      </x:c>
      <x:c r="X15" s="103" t="n">
        <x:f>X13*X14</x:f>
        <x:v>3216.3636363636365</x:v>
      </x:c>
      <x:c r="Y15" s="103" t="n">
        <x:f>Y13*Y14</x:f>
        <x:v>3480</x:v>
      </x:c>
      <x:c r="Z15" s="101"/>
    </x:row>
    <x:row r="16">
      <x:c r="A16" s="101" t="str">
        <x:v>Media sponsorship revenue</x:v>
      </x:c>
      <x:c r="B16" s="103" t="n">
        <x:f>0</x:f>
        <x:v>0</x:v>
      </x:c>
      <x:c r="C16" s="103" t="n">
        <x:f>0</x:f>
        <x:v>0</x:v>
      </x:c>
      <x:c r="D16" s="103" t="n">
        <x:f>0</x:f>
        <x:v>0</x:v>
      </x:c>
      <x:c r="E16" s="103" t="n">
        <x:f>0</x:f>
        <x:v>0</x:v>
      </x:c>
      <x:c r="F16" s="103" t="n">
        <x:f>0</x:f>
        <x:v>0</x:v>
      </x:c>
      <x:c r="G16" s="103" t="n">
        <x:f>0</x:f>
        <x:v>0</x:v>
      </x:c>
      <x:c r="H16" s="103" t="n">
        <x:f>0</x:f>
        <x:v>0</x:v>
      </x:c>
      <x:c r="I16" s="103" t="n">
        <x:f>0</x:f>
        <x:v>0</x:v>
      </x:c>
      <x:c r="J16" s="103" t="n">
        <x:f>0</x:f>
        <x:v>0</x:v>
      </x:c>
      <x:c r="K16" s="103" t="n">
        <x:f>0</x:f>
        <x:v>0</x:v>
      </x:c>
      <x:c r="L16" s="103" t="n">
        <x:f>0</x:f>
        <x:v>0</x:v>
      </x:c>
      <x:c r="M16" s="103" t="n">
        <x:f>0</x:f>
        <x:v>0</x:v>
      </x:c>
      <x:c r="N16" s="103" t="n">
        <x:f>0</x:f>
        <x:v>0</x:v>
      </x:c>
      <x:c r="O16" s="103" t="n">
        <x:f>0</x:f>
        <x:v>0</x:v>
      </x:c>
      <x:c r="P16" s="103" t="n">
        <x:f>0</x:f>
        <x:v>0</x:v>
      </x:c>
      <x:c r="Q16" s="103" t="n">
        <x:f>0</x:f>
        <x:v>0</x:v>
      </x:c>
      <x:c r="R16" s="103" t="n">
        <x:f>0</x:f>
        <x:v>0</x:v>
      </x:c>
      <x:c r="S16" s="103" t="n">
        <x:f>'Assumptions'!$B$37+(18-'Assumptions'!$B$36)*('Assumptions'!$B$38-'Assumptions'!$B$37)/(24-'Assumptions'!$B$36)</x:f>
        <x:v>1000</x:v>
      </x:c>
      <x:c r="T16" s="103" t="n">
        <x:f>'Assumptions'!$B$37+(19-'Assumptions'!$B$36)*('Assumptions'!$B$38-'Assumptions'!$B$37)/(24-'Assumptions'!$B$36)</x:f>
        <x:v>1333.3333333333333</x:v>
      </x:c>
      <x:c r="U16" s="103" t="n">
        <x:f>'Assumptions'!$B$37+(20-'Assumptions'!$B$36)*('Assumptions'!$B$38-'Assumptions'!$B$37)/(24-'Assumptions'!$B$36)</x:f>
        <x:v>1666.6666666666665</x:v>
      </x:c>
      <x:c r="V16" s="103" t="n">
        <x:f>'Assumptions'!$B$37+(21-'Assumptions'!$B$36)*('Assumptions'!$B$38-'Assumptions'!$B$37)/(24-'Assumptions'!$B$36)</x:f>
        <x:v>2000</x:v>
      </x:c>
      <x:c r="W16" s="103" t="n">
        <x:f>'Assumptions'!$B$37+(22-'Assumptions'!$B$36)*('Assumptions'!$B$38-'Assumptions'!$B$37)/(24-'Assumptions'!$B$36)</x:f>
        <x:v>2333.333333333333</x:v>
      </x:c>
      <x:c r="X16" s="103" t="n">
        <x:f>'Assumptions'!$B$37+(23-'Assumptions'!$B$36)*('Assumptions'!$B$38-'Assumptions'!$B$37)/(24-'Assumptions'!$B$36)</x:f>
        <x:v>2666.666666666667</x:v>
      </x:c>
      <x:c r="Y16" s="103" t="n">
        <x:f>'Assumptions'!$B$37+(24-'Assumptions'!$B$36)*('Assumptions'!$B$38-'Assumptions'!$B$37)/(24-'Assumptions'!$B$36)</x:f>
        <x:v>3000</x:v>
      </x:c>
      <x:c r="Z16" s="101"/>
    </x:row>
    <x:row r="17">
      <x:c r="A17" s="114" t="str">
        <x:v>Total revenue</x:v>
      </x:c>
      <x:c r="B17" s="115" t="n">
        <x:f>SUM(B12,B15,B16)</x:f>
        <x:v>6015.625</x:v>
      </x:c>
      <x:c r="C17" s="115" t="n">
        <x:f>SUM(C12,C15,C16)</x:f>
        <x:v>6557.03125</x:v>
      </x:c>
      <x:c r="D17" s="115" t="n">
        <x:f>SUM(D12,D15,D16)</x:f>
        <x:v>7147.164062500001</x:v>
      </x:c>
      <x:c r="E17" s="115" t="n">
        <x:f>SUM(E12,E15,E16)</x:f>
        <x:v>7790.408828125001</x:v>
      </x:c>
      <x:c r="F17" s="115" t="n">
        <x:f>SUM(F12,F15,F16)</x:f>
        <x:v>8491.545622656251</x:v>
      </x:c>
      <x:c r="G17" s="115" t="n">
        <x:f>SUM(G12,G15,G16)</x:f>
        <x:v>9255.784728695315</x:v>
      </x:c>
      <x:c r="H17" s="115" t="n">
        <x:f>SUM(H12,H15,H16)</x:f>
        <x:v>12267.987310801922</x:v>
      </x:c>
      <x:c r="I17" s="115" t="n">
        <x:f>SUM(I12,I15,I16)</x:f>
        <x:v>13372.106168774095</x:v>
      </x:c>
      <x:c r="J17" s="115" t="n">
        <x:f>SUM(J12,J15,J16)</x:f>
        <x:v>14575.595723963763</x:v>
      </x:c>
      <x:c r="K17" s="115" t="n">
        <x:f>SUM(K12,K15,K16)</x:f>
        <x:v>15887.399339120504</x:v>
      </x:c>
      <x:c r="L17" s="115" t="n">
        <x:f>SUM(L12,L15,L16)</x:f>
        <x:v>17317.26527964135</x:v>
      </x:c>
      <x:c r="M17" s="115" t="n">
        <x:f>SUM(M12,M15,M16)</x:f>
        <x:v>18875.819154809073</x:v>
      </x:c>
      <x:c r="N17" s="115" t="n">
        <x:f>SUM(N12,N15,N16)</x:f>
        <x:v>23145.828914395814</x:v>
      </x:c>
      <x:c r="O17" s="115" t="n">
        <x:f>SUM(O12,O15,O16)</x:f>
        <x:v>24763.415012895926</x:v>
      </x:c>
      <x:c r="P17" s="115" t="n">
        <x:f>SUM(P12,P15,P16)</x:f>
        <x:v>26462.238095487864</x:v>
      </x:c>
      <x:c r="Q17" s="115" t="n">
        <x:f>SUM(Q12,Q15,Q16)</x:f>
        <x:v>28247.17238121714</x:v>
      </x:c>
      <x:c r="R17" s="115" t="n">
        <x:f>SUM(R12,R15,R16)</x:f>
        <x:v>30123.38454227199</x:v>
      </x:c>
      <x:c r="S17" s="115" t="n">
        <x:f>SUM(S12,S15,S16)</x:f>
        <x:v>33096.351251171945</x:v>
      </x:c>
      <x:c r="T17" s="115" t="n">
        <x:f>SUM(T12,T15,T16)</x:f>
        <x:v>35505.211114121055</x:v>
      </x:c>
      <x:c r="U17" s="115" t="n">
        <x:f>SUM(U12,U15,U16)</x:f>
        <x:v>38022.784387028914</x:v>
      </x:c>
      <x:c r="V17" s="115" t="n">
        <x:f>SUM(V12,V15,V16)</x:f>
        <x:v>40655.59387449309</x:v>
      </x:c>
      <x:c r="W17" s="115" t="n">
        <x:f>SUM(W12,W15,W16)</x:f>
        <x:v>43410.55374938691</x:v>
      </x:c>
      <x:c r="X17" s="115" t="n">
        <x:f>SUM(X12,X15,X16)</x:f>
        <x:v>46294.99303495619</x:v>
      </x:c>
      <x:c r="Y17" s="115" t="n">
        <x:f>SUM(Y12,Y15,Y16)</x:f>
        <x:v>49316.68049584144</x:v>
      </x:c>
      <x:c r="Z17" s="101"/>
    </x:row>
    <x:row r="18">
      <x:c r="A18" s="101"/>
      <x:c r="B18" s="101"/>
      <x:c r="C18" s="101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</x:row>
    <x:row r="19" ht="21" customHeight="1">
      <x:c r="A19" s="20" t="str">
        <x:v>Delivery and contribution</x:v>
      </x:c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2"/>
      <x:c r="Z19" s="101"/>
    </x:row>
    <x:row r="20">
      <x:c r="A20" s="101" t="str">
        <x:v>Average service hours / engagement</x:v>
      </x:c>
      <x:c r="B20" s="119" t="n">
        <x:f>'Assumptions'!$C$18</x:f>
        <x:v>8.7125</x:v>
      </x:c>
      <x:c r="C20" s="119" t="n">
        <x:f>'Assumptions'!$C$18</x:f>
        <x:v>8.7125</x:v>
      </x:c>
      <x:c r="D20" s="119" t="n">
        <x:f>'Assumptions'!$C$18</x:f>
        <x:v>8.7125</x:v>
      </x:c>
      <x:c r="E20" s="119" t="n">
        <x:f>'Assumptions'!$C$18</x:f>
        <x:v>8.7125</x:v>
      </x:c>
      <x:c r="F20" s="119" t="n">
        <x:f>'Assumptions'!$C$18</x:f>
        <x:v>8.7125</x:v>
      </x:c>
      <x:c r="G20" s="119" t="n">
        <x:f>'Assumptions'!$C$18</x:f>
        <x:v>8.7125</x:v>
      </x:c>
      <x:c r="H20" s="119" t="n">
        <x:f>'Assumptions'!$C$18</x:f>
        <x:v>8.7125</x:v>
      </x:c>
      <x:c r="I20" s="119" t="n">
        <x:f>'Assumptions'!$C$18</x:f>
        <x:v>8.7125</x:v>
      </x:c>
      <x:c r="J20" s="119" t="n">
        <x:f>'Assumptions'!$C$18</x:f>
        <x:v>8.7125</x:v>
      </x:c>
      <x:c r="K20" s="119" t="n">
        <x:f>'Assumptions'!$C$18</x:f>
        <x:v>8.7125</x:v>
      </x:c>
      <x:c r="L20" s="119" t="n">
        <x:f>'Assumptions'!$C$18</x:f>
        <x:v>8.7125</x:v>
      </x:c>
      <x:c r="M20" s="119" t="n">
        <x:f>'Assumptions'!$C$18</x:f>
        <x:v>8.7125</x:v>
      </x:c>
      <x:c r="N20" s="119" t="n">
        <x:f>'Assumptions'!$C$18</x:f>
        <x:v>8.7125</x:v>
      </x:c>
      <x:c r="O20" s="119" t="n">
        <x:f>'Assumptions'!$C$18</x:f>
        <x:v>8.7125</x:v>
      </x:c>
      <x:c r="P20" s="119" t="n">
        <x:f>'Assumptions'!$C$18</x:f>
        <x:v>8.7125</x:v>
      </x:c>
      <x:c r="Q20" s="119" t="n">
        <x:f>'Assumptions'!$C$18</x:f>
        <x:v>8.7125</x:v>
      </x:c>
      <x:c r="R20" s="119" t="n">
        <x:f>'Assumptions'!$C$18</x:f>
        <x:v>8.7125</x:v>
      </x:c>
      <x:c r="S20" s="119" t="n">
        <x:f>'Assumptions'!$C$18</x:f>
        <x:v>8.7125</x:v>
      </x:c>
      <x:c r="T20" s="119" t="n">
        <x:f>'Assumptions'!$C$18</x:f>
        <x:v>8.7125</x:v>
      </x:c>
      <x:c r="U20" s="119" t="n">
        <x:f>'Assumptions'!$C$18</x:f>
        <x:v>8.7125</x:v>
      </x:c>
      <x:c r="V20" s="119" t="n">
        <x:f>'Assumptions'!$C$18</x:f>
        <x:v>8.7125</x:v>
      </x:c>
      <x:c r="W20" s="119" t="n">
        <x:f>'Assumptions'!$C$18</x:f>
        <x:v>8.7125</x:v>
      </x:c>
      <x:c r="X20" s="119" t="n">
        <x:f>'Assumptions'!$C$18</x:f>
        <x:v>8.7125</x:v>
      </x:c>
      <x:c r="Y20" s="119" t="n">
        <x:f>'Assumptions'!$C$18</x:f>
        <x:v>8.7125</x:v>
      </x:c>
      <x:c r="Z20" s="101"/>
    </x:row>
    <x:row r="21">
      <x:c r="A21" s="101" t="str">
        <x:v>Delivery hours</x:v>
      </x:c>
      <x:c r="B21" s="118" t="n">
        <x:f>B10*B20</x:f>
        <x:v>30.493750000000002</x:v>
      </x:c>
      <x:c r="C21" s="118" t="n">
        <x:f>C10*C20</x:f>
        <x:v>33.2381875</x:v>
      </x:c>
      <x:c r="D21" s="118" t="n">
        <x:f>D10*D20</x:f>
        <x:v>36.22962437500001</x:v>
      </x:c>
      <x:c r="E21" s="118" t="n">
        <x:f>E10*E20</x:f>
        <x:v>39.490290568750005</x:v>
      </x:c>
      <x:c r="F21" s="118" t="n">
        <x:f>F10*F20</x:f>
        <x:v>43.04441671993751</x:v>
      </x:c>
      <x:c r="G21" s="118" t="n">
        <x:f>G10*G20</x:f>
        <x:v>46.91841422473188</x:v>
      </x:c>
      <x:c r="H21" s="118" t="n">
        <x:f>H10*H20</x:f>
        <x:v>62.18754295002865</x:v>
      </x:c>
      <x:c r="I21" s="118" t="n">
        <x:f>I10*I20</x:f>
        <x:v>67.78442181553123</x:v>
      </x:c>
      <x:c r="J21" s="118" t="n">
        <x:f>J10*J20</x:f>
        <x:v>73.88501977892905</x:v>
      </x:c>
      <x:c r="K21" s="118" t="n">
        <x:f>K10*K20</x:f>
        <x:v>80.53467155903267</x:v>
      </x:c>
      <x:c r="L21" s="118" t="n">
        <x:f>L10*L20</x:f>
        <x:v>87.7827919993456</x:v>
      </x:c>
      <x:c r="M21" s="118" t="n">
        <x:f>M10*M20</x:f>
        <x:v>95.68324327928673</x:v>
      </x:c>
      <x:c r="N21" s="118" t="n">
        <x:f>N10*N20</x:f>
        <x:v>114.3882382060646</x:v>
      </x:c>
      <x:c r="O21" s="118" t="n">
        <x:f>O10*O20</x:f>
        <x:v>121.25153249842847</x:v>
      </x:c>
      <x:c r="P21" s="118" t="n">
        <x:f>P10*P20</x:f>
        <x:v>128.5266244483342</x:v>
      </x:c>
      <x:c r="Q21" s="118" t="n">
        <x:f>Q10*Q20</x:f>
        <x:v>136.23822191523425</x:v>
      </x:c>
      <x:c r="R21" s="118" t="n">
        <x:f>R10*R20</x:f>
        <x:v>144.41251523014833</x:v>
      </x:c>
      <x:c r="S21" s="118" t="n">
        <x:f>S10*S20</x:f>
        <x:v>153.07726614395722</x:v>
      </x:c>
      <x:c r="T21" s="118" t="n">
        <x:f>T10*T20</x:f>
        <x:v>162.26190211259467</x:v>
      </x:c>
      <x:c r="U21" s="118" t="n">
        <x:f>U10*U20</x:f>
        <x:v>171.99761623935035</x:v>
      </x:c>
      <x:c r="V21" s="118" t="n">
        <x:f>V10*V20</x:f>
        <x:v>182.31747321371142</x:v>
      </x:c>
      <x:c r="W21" s="118" t="n">
        <x:f>W10*W20</x:f>
        <x:v>193.25652160653408</x:v>
      </x:c>
      <x:c r="X21" s="118" t="n">
        <x:f>X10*X20</x:f>
        <x:v>204.85191290292616</x:v>
      </x:c>
      <x:c r="Y21" s="118" t="n">
        <x:f>Y10*Y20</x:f>
        <x:v>217.1430276771017</x:v>
      </x:c>
      <x:c r="Z21" s="101"/>
    </x:row>
    <x:row r="22">
      <x:c r="A22" s="101" t="str">
        <x:v>Available delivery hours</x:v>
      </x:c>
      <x:c r="B22" s="119" t="n">
        <x:f>'Assumptions'!$B$56</x:f>
        <x:v>80</x:v>
      </x:c>
      <x:c r="C22" s="119" t="n">
        <x:f>'Assumptions'!$B$56</x:f>
        <x:v>80</x:v>
      </x:c>
      <x:c r="D22" s="119" t="n">
        <x:f>'Assumptions'!$B$56</x:f>
        <x:v>80</x:v>
      </x:c>
      <x:c r="E22" s="119" t="n">
        <x:f>'Assumptions'!$B$56</x:f>
        <x:v>80</x:v>
      </x:c>
      <x:c r="F22" s="119" t="n">
        <x:f>'Assumptions'!$B$56</x:f>
        <x:v>80</x:v>
      </x:c>
      <x:c r="G22" s="119" t="n">
        <x:f>'Assumptions'!$B$56</x:f>
        <x:v>80</x:v>
      </x:c>
      <x:c r="H22" s="119" t="n">
        <x:f>'Assumptions'!$C$56</x:f>
        <x:v>140</x:v>
      </x:c>
      <x:c r="I22" s="119" t="n">
        <x:f>'Assumptions'!$C$56</x:f>
        <x:v>140</x:v>
      </x:c>
      <x:c r="J22" s="119" t="n">
        <x:f>'Assumptions'!$C$56</x:f>
        <x:v>140</x:v>
      </x:c>
      <x:c r="K22" s="119" t="n">
        <x:f>'Assumptions'!$C$56</x:f>
        <x:v>140</x:v>
      </x:c>
      <x:c r="L22" s="119" t="n">
        <x:f>'Assumptions'!$C$56</x:f>
        <x:v>140</x:v>
      </x:c>
      <x:c r="M22" s="119" t="n">
        <x:f>'Assumptions'!$C$56</x:f>
        <x:v>140</x:v>
      </x:c>
      <x:c r="N22" s="119" t="n">
        <x:f>'Assumptions'!$D$56</x:f>
        <x:v>260</x:v>
      </x:c>
      <x:c r="O22" s="119" t="n">
        <x:f>'Assumptions'!$D$56</x:f>
        <x:v>260</x:v>
      </x:c>
      <x:c r="P22" s="119" t="n">
        <x:f>'Assumptions'!$D$56</x:f>
        <x:v>260</x:v>
      </x:c>
      <x:c r="Q22" s="119" t="n">
        <x:f>'Assumptions'!$D$56</x:f>
        <x:v>260</x:v>
      </x:c>
      <x:c r="R22" s="119" t="n">
        <x:f>'Assumptions'!$D$56</x:f>
        <x:v>260</x:v>
      </x:c>
      <x:c r="S22" s="119" t="n">
        <x:f>'Assumptions'!$D$56</x:f>
        <x:v>260</x:v>
      </x:c>
      <x:c r="T22" s="119" t="n">
        <x:f>'Assumptions'!$D$56</x:f>
        <x:v>260</x:v>
      </x:c>
      <x:c r="U22" s="119" t="n">
        <x:f>'Assumptions'!$D$56</x:f>
        <x:v>260</x:v>
      </x:c>
      <x:c r="V22" s="119" t="n">
        <x:f>'Assumptions'!$D$56</x:f>
        <x:v>260</x:v>
      </x:c>
      <x:c r="W22" s="119" t="n">
        <x:f>'Assumptions'!$D$56</x:f>
        <x:v>260</x:v>
      </x:c>
      <x:c r="X22" s="119" t="n">
        <x:f>'Assumptions'!$D$56</x:f>
        <x:v>260</x:v>
      </x:c>
      <x:c r="Y22" s="119" t="n">
        <x:f>'Assumptions'!$D$56</x:f>
        <x:v>260</x:v>
      </x:c>
      <x:c r="Z22" s="101"/>
    </x:row>
    <x:row r="23">
      <x:c r="A23" s="101" t="str">
        <x:v>Delivery utilization</x:v>
      </x:c>
      <x:c r="B23" s="121" t="n">
        <x:f>B21/B22</x:f>
        <x:v>0.38117187500000005</x:v>
      </x:c>
      <x:c r="C23" s="121" t="n">
        <x:f>C21/C22</x:f>
        <x:v>0.41547734375</x:v>
      </x:c>
      <x:c r="D23" s="121" t="n">
        <x:f>D21/D22</x:f>
        <x:v>0.4528703046875001</x:v>
      </x:c>
      <x:c r="E23" s="121" t="n">
        <x:f>E21/E22</x:f>
        <x:v>0.4936286321093751</x:v>
      </x:c>
      <x:c r="F23" s="121" t="n">
        <x:f>F21/F22</x:f>
        <x:v>0.5380552089992189</x:v>
      </x:c>
      <x:c r="G23" s="121" t="n">
        <x:f>G21/G22</x:f>
        <x:v>0.5864801778091485</x:v>
      </x:c>
      <x:c r="H23" s="121" t="n">
        <x:f>H21/H22</x:f>
        <x:v>0.4441967353573475</x:v>
      </x:c>
      <x:c r="I23" s="121" t="n">
        <x:f>I21/I22</x:f>
        <x:v>0.4841744415395088</x:v>
      </x:c>
      <x:c r="J23" s="121" t="n">
        <x:f>J21/J22</x:f>
        <x:v>0.5277501412780646</x:v>
      </x:c>
      <x:c r="K23" s="121" t="n">
        <x:f>K21/K22</x:f>
        <x:v>0.5752476539930905</x:v>
      </x:c>
      <x:c r="L23" s="121" t="n">
        <x:f>L21/L22</x:f>
        <x:v>0.6270199428524686</x:v>
      </x:c>
      <x:c r="M23" s="121" t="n">
        <x:f>M21/M22</x:f>
        <x:v>0.6834517377091909</x:v>
      </x:c>
      <x:c r="N23" s="121" t="n">
        <x:f>N21/N22</x:f>
        <x:v>0.4399547623310177</x:v>
      </x:c>
      <x:c r="O23" s="121" t="n">
        <x:f>O21/O22</x:f>
        <x:v>0.46635204807087877</x:v>
      </x:c>
      <x:c r="P23" s="121" t="n">
        <x:f>P21/P22</x:f>
        <x:v>0.4943331709551315</x:v>
      </x:c>
      <x:c r="Q23" s="121" t="n">
        <x:f>Q21/Q22</x:f>
        <x:v>0.5239931612124394</x:v>
      </x:c>
      <x:c r="R23" s="121" t="n">
        <x:f>R21/R22</x:f>
        <x:v>0.5554327508851858</x:v>
      </x:c>
      <x:c r="S23" s="121" t="n">
        <x:f>S21/S22</x:f>
        <x:v>0.588758715938297</x:v>
      </x:c>
      <x:c r="T23" s="121" t="n">
        <x:f>T21/T22</x:f>
        <x:v>0.6240842388945949</x:v>
      </x:c>
      <x:c r="U23" s="121" t="n">
        <x:f>U21/U22</x:f>
        <x:v>0.6615292932282706</x:v>
      </x:c>
      <x:c r="V23" s="121" t="n">
        <x:f>V21/V22</x:f>
        <x:v>0.7012210508219671</x:v>
      </x:c>
      <x:c r="W23" s="121" t="n">
        <x:f>W21/W22</x:f>
        <x:v>0.743294313871285</x:v>
      </x:c>
      <x:c r="X23" s="121" t="n">
        <x:f>X21/X22</x:f>
        <x:v>0.7878919727035621</x:v>
      </x:c>
      <x:c r="Y23" s="121" t="n">
        <x:f>Y21/Y22</x:f>
        <x:v>0.8351654910657759</x:v>
      </x:c>
      <x:c r="Z23" s="101"/>
    </x:row>
    <x:row r="24">
      <x:c r="A24" s="101" t="str">
        <x:v>Delivery labor cost / hour</x:v>
      </x:c>
      <x:c r="B24" s="120" t="n">
        <x:f>'Assumptions'!$B$31</x:f>
        <x:v>65</x:v>
      </x:c>
      <x:c r="C24" s="120" t="n">
        <x:f>'Assumptions'!$B$31</x:f>
        <x:v>65</x:v>
      </x:c>
      <x:c r="D24" s="120" t="n">
        <x:f>'Assumptions'!$B$31</x:f>
        <x:v>65</x:v>
      </x:c>
      <x:c r="E24" s="120" t="n">
        <x:f>'Assumptions'!$B$31</x:f>
        <x:v>65</x:v>
      </x:c>
      <x:c r="F24" s="120" t="n">
        <x:f>'Assumptions'!$B$31</x:f>
        <x:v>65</x:v>
      </x:c>
      <x:c r="G24" s="120" t="n">
        <x:f>'Assumptions'!$B$31</x:f>
        <x:v>65</x:v>
      </x:c>
      <x:c r="H24" s="120" t="n">
        <x:f>'Assumptions'!$B$31</x:f>
        <x:v>65</x:v>
      </x:c>
      <x:c r="I24" s="120" t="n">
        <x:f>'Assumptions'!$B$31</x:f>
        <x:v>65</x:v>
      </x:c>
      <x:c r="J24" s="120" t="n">
        <x:f>'Assumptions'!$B$31</x:f>
        <x:v>65</x:v>
      </x:c>
      <x:c r="K24" s="120" t="n">
        <x:f>'Assumptions'!$B$31</x:f>
        <x:v>65</x:v>
      </x:c>
      <x:c r="L24" s="120" t="n">
        <x:f>'Assumptions'!$B$31</x:f>
        <x:v>65</x:v>
      </x:c>
      <x:c r="M24" s="120" t="n">
        <x:f>'Assumptions'!$B$31</x:f>
        <x:v>65</x:v>
      </x:c>
      <x:c r="N24" s="120" t="n">
        <x:f>'Assumptions'!$B$31</x:f>
        <x:v>65</x:v>
      </x:c>
      <x:c r="O24" s="120" t="n">
        <x:f>'Assumptions'!$B$31</x:f>
        <x:v>65</x:v>
      </x:c>
      <x:c r="P24" s="120" t="n">
        <x:f>'Assumptions'!$B$31</x:f>
        <x:v>65</x:v>
      </x:c>
      <x:c r="Q24" s="120" t="n">
        <x:f>'Assumptions'!$B$31</x:f>
        <x:v>65</x:v>
      </x:c>
      <x:c r="R24" s="120" t="n">
        <x:f>'Assumptions'!$B$31</x:f>
        <x:v>65</x:v>
      </x:c>
      <x:c r="S24" s="120" t="n">
        <x:f>'Assumptions'!$B$31</x:f>
        <x:v>65</x:v>
      </x:c>
      <x:c r="T24" s="120" t="n">
        <x:f>'Assumptions'!$B$31</x:f>
        <x:v>65</x:v>
      </x:c>
      <x:c r="U24" s="120" t="n">
        <x:f>'Assumptions'!$B$31</x:f>
        <x:v>65</x:v>
      </x:c>
      <x:c r="V24" s="120" t="n">
        <x:f>'Assumptions'!$B$31</x:f>
        <x:v>65</x:v>
      </x:c>
      <x:c r="W24" s="120" t="n">
        <x:f>'Assumptions'!$B$31</x:f>
        <x:v>65</x:v>
      </x:c>
      <x:c r="X24" s="120" t="n">
        <x:f>'Assumptions'!$B$31</x:f>
        <x:v>65</x:v>
      </x:c>
      <x:c r="Y24" s="120" t="n">
        <x:f>'Assumptions'!$B$31</x:f>
        <x:v>65</x:v>
      </x:c>
      <x:c r="Z24" s="101"/>
    </x:row>
    <x:row r="25">
      <x:c r="A25" s="101" t="str">
        <x:v>Delivery labor</x:v>
      </x:c>
      <x:c r="B25" s="103" t="n">
        <x:f>B21*B24</x:f>
        <x:v>1982.0937500000002</x:v>
      </x:c>
      <x:c r="C25" s="103" t="n">
        <x:f>C21*C24</x:f>
        <x:v>2160.4821875000002</x:v>
      </x:c>
      <x:c r="D25" s="103" t="n">
        <x:f>D21*D24</x:f>
        <x:v>2354.9255843750007</x:v>
      </x:c>
      <x:c r="E25" s="103" t="n">
        <x:f>E21*E24</x:f>
        <x:v>2566.8688869687503</x:v>
      </x:c>
      <x:c r="F25" s="103" t="n">
        <x:f>F21*F24</x:f>
        <x:v>2797.887086795938</x:v>
      </x:c>
      <x:c r="G25" s="103" t="n">
        <x:f>G21*G24</x:f>
        <x:v>3049.6969246075723</x:v>
      </x:c>
      <x:c r="H25" s="103" t="n">
        <x:f>H21*H24</x:f>
        <x:v>4042.1902917518623</x:v>
      </x:c>
      <x:c r="I25" s="103" t="n">
        <x:f>I21*I24</x:f>
        <x:v>4405.98741800953</x:v>
      </x:c>
      <x:c r="J25" s="103" t="n">
        <x:f>J21*J24</x:f>
        <x:v>4802.526285630388</x:v>
      </x:c>
      <x:c r="K25" s="103" t="n">
        <x:f>K21*K24</x:f>
        <x:v>5234.753651337124</x:v>
      </x:c>
      <x:c r="L25" s="103" t="n">
        <x:f>L21*L24</x:f>
        <x:v>5705.881479957465</x:v>
      </x:c>
      <x:c r="M25" s="103" t="n">
        <x:f>M21*M24</x:f>
        <x:v>6219.410813153638</x:v>
      </x:c>
      <x:c r="N25" s="103" t="n">
        <x:f>N21*N24</x:f>
        <x:v>7435.235483394199</x:v>
      </x:c>
      <x:c r="O25" s="103" t="n">
        <x:f>O21*O24</x:f>
        <x:v>7881.349612397851</x:v>
      </x:c>
      <x:c r="P25" s="103" t="n">
        <x:f>P21*P24</x:f>
        <x:v>8354.230589141722</x:v>
      </x:c>
      <x:c r="Q25" s="103" t="n">
        <x:f>Q21*Q24</x:f>
        <x:v>8855.484424490227</x:v>
      </x:c>
      <x:c r="R25" s="103" t="n">
        <x:f>R21*R24</x:f>
        <x:v>9386.81348995964</x:v>
      </x:c>
      <x:c r="S25" s="103" t="n">
        <x:f>S21*S24</x:f>
        <x:v>9950.022299357219</x:v>
      </x:c>
      <x:c r="T25" s="103" t="n">
        <x:f>T21*T24</x:f>
        <x:v>10547.023637318653</x:v>
      </x:c>
      <x:c r="U25" s="103" t="n">
        <x:f>U21*U24</x:f>
        <x:v>11179.845055557773</x:v>
      </x:c>
      <x:c r="V25" s="103" t="n">
        <x:f>V21*V24</x:f>
        <x:v>11850.635758891243</x:v>
      </x:c>
      <x:c r="W25" s="103" t="n">
        <x:f>W21*W24</x:f>
        <x:v>12561.673904424715</x:v>
      </x:c>
      <x:c r="X25" s="103" t="n">
        <x:f>X21*X24</x:f>
        <x:v>13315.3743386902</x:v>
      </x:c>
      <x:c r="Y25" s="103" t="n">
        <x:f>Y21*Y24</x:f>
        <x:v>14114.296799011612</x:v>
      </x:c>
      <x:c r="Z25" s="101"/>
    </x:row>
    <x:row r="26">
      <x:c r="A26" s="101" t="str">
        <x:v>Materials and pass-through</x:v>
      </x:c>
      <x:c r="B26" s="103" t="n">
        <x:f>B12*'Assumptions'!$D$18</x:f>
        <x:v>499.296875</x:v>
      </x:c>
      <x:c r="C26" s="103" t="n">
        <x:f>C12*'Assumptions'!$D$18</x:f>
        <x:v>544.2335937500001</x:v>
      </x:c>
      <x:c r="D26" s="103" t="n">
        <x:f>D12*'Assumptions'!$D$18</x:f>
        <x:v>593.2146171875002</x:v>
      </x:c>
      <x:c r="E26" s="103" t="n">
        <x:f>E12*'Assumptions'!$D$18</x:f>
        <x:v>646.6039327343751</x:v>
      </x:c>
      <x:c r="F26" s="103" t="n">
        <x:f>F12*'Assumptions'!$D$18</x:f>
        <x:v>704.7982866804689</x:v>
      </x:c>
      <x:c r="G26" s="103" t="n">
        <x:f>G12*'Assumptions'!$D$18</x:f>
        <x:v>768.2301324817112</x:v>
      </x:c>
      <x:c r="H26" s="103" t="n">
        <x:f>H12*'Assumptions'!$D$18</x:f>
        <x:v>1018.2429467965595</x:v>
      </x:c>
      <x:c r="I26" s="103" t="n">
        <x:f>I12*'Assumptions'!$D$18</x:f>
        <x:v>1109.88481200825</x:v>
      </x:c>
      <x:c r="J26" s="103" t="n">
        <x:f>J12*'Assumptions'!$D$18</x:f>
        <x:v>1209.7744450889925</x:v>
      </x:c>
      <x:c r="K26" s="103" t="n">
        <x:f>K12*'Assumptions'!$D$18</x:f>
        <x:v>1318.6541451470018</x:v>
      </x:c>
      <x:c r="L26" s="103" t="n">
        <x:f>L12*'Assumptions'!$D$18</x:f>
        <x:v>1437.333018210232</x:v>
      </x:c>
      <x:c r="M26" s="103" t="n">
        <x:f>M12*'Assumptions'!$D$18</x:f>
        <x:v>1566.692989849153</x:v>
      </x:c>
      <x:c r="N26" s="103" t="n">
        <x:f>N12*'Assumptions'!$D$18</x:f>
        <x:v>1872.9637998948526</x:v>
      </x:c>
      <x:c r="O26" s="103" t="n">
        <x:f>O12*'Assumptions'!$D$18</x:f>
        <x:v>1985.3416278885438</x:v>
      </x:c>
      <x:c r="P26" s="103" t="n">
        <x:f>P12*'Assumptions'!$D$18</x:f>
        <x:v>2104.4621255618563</x:v>
      </x:c>
      <x:c r="Q26" s="103" t="n">
        <x:f>Q12*'Assumptions'!$D$18</x:f>
        <x:v>2230.729853095568</x:v>
      </x:c>
      <x:c r="R26" s="103" t="n">
        <x:f>R12*'Assumptions'!$D$18</x:f>
        <x:v>2364.573644281302</x:v>
      </x:c>
      <x:c r="S26" s="103" t="n">
        <x:f>S12*'Assumptions'!$D$18</x:f>
        <x:v>2506.4480629381806</x:v>
      </x:c>
      <x:c r="T26" s="103" t="n">
        <x:f>T12*'Assumptions'!$D$18</x:f>
        <x:v>2656.8349467144717</x:v>
      </x:c>
      <x:c r="U26" s="103" t="n">
        <x:f>U12*'Assumptions'!$D$18</x:f>
        <x:v>2816.2450435173396</x:v>
      </x:c>
      <x:c r="V26" s="103" t="n">
        <x:f>V12*'Assumptions'!$D$18</x:f>
        <x:v>2985.219746128381</x:v>
      </x:c>
      <x:c r="W26" s="103" t="n">
        <x:f>W12*'Assumptions'!$D$18</x:f>
        <x:v>3164.3329308960833</x:v>
      </x:c>
      <x:c r="X26" s="103" t="n">
        <x:f>X12*'Assumptions'!$D$18</x:f>
        <x:v>3354.1929067498486</x:v>
      </x:c>
      <x:c r="Y26" s="103" t="n">
        <x:f>Y12*'Assumptions'!$D$18</x:f>
        <x:v>3555.44448115484</x:v>
      </x:c>
      <x:c r="Z26" s="101"/>
    </x:row>
    <x:row r="27">
      <x:c r="A27" s="101" t="str">
        <x:v>Payment processing</x:v>
      </x:c>
      <x:c r="B27" s="103" t="n">
        <x:f>B17*'Assumptions'!$E$18</x:f>
        <x:v>180.46875</x:v>
      </x:c>
      <x:c r="C27" s="103" t="n">
        <x:f>C17*'Assumptions'!$E$18</x:f>
        <x:v>196.7109375</x:v>
      </x:c>
      <x:c r="D27" s="103" t="n">
        <x:f>D17*'Assumptions'!$E$18</x:f>
        <x:v>214.41492187500003</x:v>
      </x:c>
      <x:c r="E27" s="103" t="n">
        <x:f>E17*'Assumptions'!$E$18</x:f>
        <x:v>233.71226484375</x:v>
      </x:c>
      <x:c r="F27" s="103" t="n">
        <x:f>F17*'Assumptions'!$E$18</x:f>
        <x:v>254.74636867968752</x:v>
      </x:c>
      <x:c r="G27" s="103" t="n">
        <x:f>G17*'Assumptions'!$E$18</x:f>
        <x:v>277.6735418608594</x:v>
      </x:c>
      <x:c r="H27" s="103" t="n">
        <x:f>H17*'Assumptions'!$E$18</x:f>
        <x:v>368.03961932405764</x:v>
      </x:c>
      <x:c r="I27" s="103" t="n">
        <x:f>I17*'Assumptions'!$E$18</x:f>
        <x:v>401.16318506322284</x:v>
      </x:c>
      <x:c r="J27" s="103" t="n">
        <x:f>J17*'Assumptions'!$E$18</x:f>
        <x:v>437.2678717189129</x:v>
      </x:c>
      <x:c r="K27" s="103" t="n">
        <x:f>K17*'Assumptions'!$E$18</x:f>
        <x:v>476.6219801736151</x:v>
      </x:c>
      <x:c r="L27" s="103" t="n">
        <x:f>L17*'Assumptions'!$E$18</x:f>
        <x:v>519.5179583892404</x:v>
      </x:c>
      <x:c r="M27" s="103" t="n">
        <x:f>M17*'Assumptions'!$E$18</x:f>
        <x:v>566.2745746442722</x:v>
      </x:c>
      <x:c r="N27" s="103" t="n">
        <x:f>N17*'Assumptions'!$E$18</x:f>
        <x:v>694.3748674318743</x:v>
      </x:c>
      <x:c r="O27" s="103" t="n">
        <x:f>O17*'Assumptions'!$E$18</x:f>
        <x:v>742.9024503868777</x:v>
      </x:c>
      <x:c r="P27" s="103" t="n">
        <x:f>P17*'Assumptions'!$E$18</x:f>
        <x:v>793.8671428646359</x:v>
      </x:c>
      <x:c r="Q27" s="103" t="n">
        <x:f>Q17*'Assumptions'!$E$18</x:f>
        <x:v>847.4151714365141</x:v>
      </x:c>
      <x:c r="R27" s="103" t="n">
        <x:f>R17*'Assumptions'!$E$18</x:f>
        <x:v>903.7015362681597</x:v>
      </x:c>
      <x:c r="S27" s="103" t="n">
        <x:f>S17*'Assumptions'!$E$18</x:f>
        <x:v>992.8905375351583</x:v>
      </x:c>
      <x:c r="T27" s="103" t="n">
        <x:f>T17*'Assumptions'!$E$18</x:f>
        <x:v>1065.1563334236316</x:v>
      </x:c>
      <x:c r="U27" s="103" t="n">
        <x:f>U17*'Assumptions'!$E$18</x:f>
        <x:v>1140.6835316108675</x:v>
      </x:c>
      <x:c r="V27" s="103" t="n">
        <x:f>V17*'Assumptions'!$E$18</x:f>
        <x:v>1219.6678162347926</x:v>
      </x:c>
      <x:c r="W27" s="103" t="n">
        <x:f>W17*'Assumptions'!$E$18</x:f>
        <x:v>1302.3166124816073</x:v>
      </x:c>
      <x:c r="X27" s="103" t="n">
        <x:f>X17*'Assumptions'!$E$18</x:f>
        <x:v>1388.8497910486856</x:v>
      </x:c>
      <x:c r="Y27" s="103" t="n">
        <x:f>Y17*'Assumptions'!$E$18</x:f>
        <x:v>1479.5004148752432</x:v>
      </x:c>
      <x:c r="Z27" s="101"/>
    </x:row>
    <x:row r="28">
      <x:c r="A28" s="101" t="str">
        <x:v>Membership delivery</x:v>
      </x:c>
      <x:c r="B28" s="103" t="n">
        <x:f>B15*'Assumptions'!$B$39</x:f>
        <x:v>0</x:v>
      </x:c>
      <x:c r="C28" s="103" t="n">
        <x:f>C15*'Assumptions'!$B$39</x:f>
        <x:v>0</x:v>
      </x:c>
      <x:c r="D28" s="103" t="n">
        <x:f>D15*'Assumptions'!$B$39</x:f>
        <x:v>0</x:v>
      </x:c>
      <x:c r="E28" s="103" t="n">
        <x:f>E15*'Assumptions'!$B$39</x:f>
        <x:v>0</x:v>
      </x:c>
      <x:c r="F28" s="103" t="n">
        <x:f>F15*'Assumptions'!$B$39</x:f>
        <x:v>0</x:v>
      </x:c>
      <x:c r="G28" s="103" t="n">
        <x:f>G15*'Assumptions'!$B$39</x:f>
        <x:v>0</x:v>
      </x:c>
      <x:c r="H28" s="103" t="n">
        <x:f>H15*'Assumptions'!$B$39</x:f>
        <x:v>0</x:v>
      </x:c>
      <x:c r="I28" s="103" t="n">
        <x:f>I15*'Assumptions'!$B$39</x:f>
        <x:v>0</x:v>
      </x:c>
      <x:c r="J28" s="103" t="n">
        <x:f>J15*'Assumptions'!$B$39</x:f>
        <x:v>0</x:v>
      </x:c>
      <x:c r="K28" s="103" t="n">
        <x:f>K15*'Assumptions'!$B$39</x:f>
        <x:v>0</x:v>
      </x:c>
      <x:c r="L28" s="103" t="n">
        <x:f>L15*'Assumptions'!$B$39</x:f>
        <x:v>0</x:v>
      </x:c>
      <x:c r="M28" s="103" t="n">
        <x:f>M15*'Assumptions'!$B$39</x:f>
        <x:v>0</x:v>
      </x:c>
      <x:c r="N28" s="103" t="n">
        <x:f>N15*'Assumptions'!$B$39</x:f>
        <x:v>116</x:v>
      </x:c>
      <x:c r="O28" s="103" t="n">
        <x:f>O15*'Assumptions'!$B$39</x:f>
        <x:v>168.72727272727275</x:v>
      </x:c>
      <x:c r="P28" s="103" t="n">
        <x:f>P15*'Assumptions'!$B$39</x:f>
        <x:v>221.4545454545455</x:v>
      </x:c>
      <x:c r="Q28" s="103" t="n">
        <x:f>Q15*'Assumptions'!$B$39</x:f>
        <x:v>274.1818181818182</x:v>
      </x:c>
      <x:c r="R28" s="103" t="n">
        <x:f>R15*'Assumptions'!$B$39</x:f>
        <x:v>326.909090909091</x:v>
      </x:c>
      <x:c r="S28" s="103" t="n">
        <x:f>S15*'Assumptions'!$B$39</x:f>
        <x:v>379.6363636363637</x:v>
      </x:c>
      <x:c r="T28" s="103" t="n">
        <x:f>T15*'Assumptions'!$B$39</x:f>
        <x:v>432.36363636363643</x:v>
      </x:c>
      <x:c r="U28" s="103" t="n">
        <x:f>U15*'Assumptions'!$B$39</x:f>
        <x:v>485.090909090909</x:v>
      </x:c>
      <x:c r="V28" s="103" t="n">
        <x:f>V15*'Assumptions'!$B$39</x:f>
        <x:v>537.8181818181819</x:v>
      </x:c>
      <x:c r="W28" s="103" t="n">
        <x:f>W15*'Assumptions'!$B$39</x:f>
        <x:v>590.5454545454545</x:v>
      </x:c>
      <x:c r="X28" s="103" t="n">
        <x:f>X15*'Assumptions'!$B$39</x:f>
        <x:v>643.2727272727274</x:v>
      </x:c>
      <x:c r="Y28" s="103" t="n">
        <x:f>Y15*'Assumptions'!$B$39</x:f>
        <x:v>696</x:v>
      </x:c>
      <x:c r="Z28" s="101"/>
    </x:row>
    <x:row r="29">
      <x:c r="A29" s="101" t="str">
        <x:v>Media direct cost</x:v>
      </x:c>
      <x:c r="B29" s="103" t="n">
        <x:f>B16*'Assumptions'!$D$57</x:f>
        <x:v>0</x:v>
      </x:c>
      <x:c r="C29" s="103" t="n">
        <x:f>C16*'Assumptions'!$D$57</x:f>
        <x:v>0</x:v>
      </x:c>
      <x:c r="D29" s="103" t="n">
        <x:f>D16*'Assumptions'!$D$57</x:f>
        <x:v>0</x:v>
      </x:c>
      <x:c r="E29" s="103" t="n">
        <x:f>E16*'Assumptions'!$D$57</x:f>
        <x:v>0</x:v>
      </x:c>
      <x:c r="F29" s="103" t="n">
        <x:f>F16*'Assumptions'!$D$57</x:f>
        <x:v>0</x:v>
      </x:c>
      <x:c r="G29" s="103" t="n">
        <x:f>G16*'Assumptions'!$D$57</x:f>
        <x:v>0</x:v>
      </x:c>
      <x:c r="H29" s="103" t="n">
        <x:f>H16*'Assumptions'!$D$57</x:f>
        <x:v>0</x:v>
      </x:c>
      <x:c r="I29" s="103" t="n">
        <x:f>I16*'Assumptions'!$D$57</x:f>
        <x:v>0</x:v>
      </x:c>
      <x:c r="J29" s="103" t="n">
        <x:f>J16*'Assumptions'!$D$57</x:f>
        <x:v>0</x:v>
      </x:c>
      <x:c r="K29" s="103" t="n">
        <x:f>K16*'Assumptions'!$D$57</x:f>
        <x:v>0</x:v>
      </x:c>
      <x:c r="L29" s="103" t="n">
        <x:f>L16*'Assumptions'!$D$57</x:f>
        <x:v>0</x:v>
      </x:c>
      <x:c r="M29" s="103" t="n">
        <x:f>M16*'Assumptions'!$D$57</x:f>
        <x:v>0</x:v>
      </x:c>
      <x:c r="N29" s="103" t="n">
        <x:f>N16*'Assumptions'!$D$57</x:f>
        <x:v>0</x:v>
      </x:c>
      <x:c r="O29" s="103" t="n">
        <x:f>O16*'Assumptions'!$D$57</x:f>
        <x:v>0</x:v>
      </x:c>
      <x:c r="P29" s="103" t="n">
        <x:f>P16*'Assumptions'!$D$57</x:f>
        <x:v>0</x:v>
      </x:c>
      <x:c r="Q29" s="103" t="n">
        <x:f>Q16*'Assumptions'!$D$57</x:f>
        <x:v>0</x:v>
      </x:c>
      <x:c r="R29" s="103" t="n">
        <x:f>R16*'Assumptions'!$D$57</x:f>
        <x:v>0</x:v>
      </x:c>
      <x:c r="S29" s="103" t="n">
        <x:f>S16*'Assumptions'!$D$57</x:f>
        <x:v>150</x:v>
      </x:c>
      <x:c r="T29" s="103" t="n">
        <x:f>T16*'Assumptions'!$D$57</x:f>
        <x:v>199.99999999999997</x:v>
      </x:c>
      <x:c r="U29" s="103" t="n">
        <x:f>U16*'Assumptions'!$D$57</x:f>
        <x:v>249.99999999999997</x:v>
      </x:c>
      <x:c r="V29" s="103" t="n">
        <x:f>V16*'Assumptions'!$D$57</x:f>
        <x:v>300</x:v>
      </x:c>
      <x:c r="W29" s="103" t="n">
        <x:f>W16*'Assumptions'!$D$57</x:f>
        <x:v>349.99999999999994</x:v>
      </x:c>
      <x:c r="X29" s="103" t="n">
        <x:f>X16*'Assumptions'!$D$57</x:f>
        <x:v>400.00000000000006</x:v>
      </x:c>
      <x:c r="Y29" s="103" t="n">
        <x:f>Y16*'Assumptions'!$D$57</x:f>
        <x:v>450</x:v>
      </x:c>
      <x:c r="Z29" s="101"/>
    </x:row>
    <x:row r="30">
      <x:c r="A30" s="109" t="str">
        <x:v>Total direct costs</x:v>
      </x:c>
      <x:c r="B30" s="110" t="n">
        <x:f>SUM(B25:B29)</x:f>
        <x:v>2661.859375</x:v>
      </x:c>
      <x:c r="C30" s="110" t="n">
        <x:f>SUM(C25:C29)</x:f>
        <x:v>2901.4267187500004</x:v>
      </x:c>
      <x:c r="D30" s="110" t="n">
        <x:f>SUM(D25:D29)</x:f>
        <x:v>3162.5551234375007</x:v>
      </x:c>
      <x:c r="E30" s="110" t="n">
        <x:f>SUM(E25:E29)</x:f>
        <x:v>3447.1850845468753</x:v>
      </x:c>
      <x:c r="F30" s="110" t="n">
        <x:f>SUM(F25:F29)</x:f>
        <x:v>3757.4317421560945</x:v>
      </x:c>
      <x:c r="G30" s="110" t="n">
        <x:f>SUM(G25:G29)</x:f>
        <x:v>4095.600598950143</x:v>
      </x:c>
      <x:c r="H30" s="110" t="n">
        <x:f>SUM(H25:H29)</x:f>
        <x:v>5428.47285787248</x:v>
      </x:c>
      <x:c r="I30" s="110" t="n">
        <x:f>SUM(I25:I29)</x:f>
        <x:v>5917.0354150810035</x:v>
      </x:c>
      <x:c r="J30" s="110" t="n">
        <x:f>SUM(J25:J29)</x:f>
        <x:v>6449.568602438293</x:v>
      </x:c>
      <x:c r="K30" s="110" t="n">
        <x:f>SUM(K25:K29)</x:f>
        <x:v>7030.029776657741</x:v>
      </x:c>
      <x:c r="L30" s="110" t="n">
        <x:f>SUM(L25:L29)</x:f>
        <x:v>7662.732456556937</x:v>
      </x:c>
      <x:c r="M30" s="110" t="n">
        <x:f>SUM(M25:M29)</x:f>
        <x:v>8352.378377647063</x:v>
      </x:c>
      <x:c r="N30" s="110" t="n">
        <x:f>SUM(N25:N29)</x:f>
        <x:v>10118.574150720926</x:v>
      </x:c>
      <x:c r="O30" s="110" t="n">
        <x:f>SUM(O25:O29)</x:f>
        <x:v>10778.320963400543</x:v>
      </x:c>
      <x:c r="P30" s="110" t="n">
        <x:f>SUM(P25:P29)</x:f>
        <x:v>11474.01440302276</x:v>
      </x:c>
      <x:c r="Q30" s="110" t="n">
        <x:f>SUM(Q25:Q29)</x:f>
        <x:v>12207.811267204128</x:v>
      </x:c>
      <x:c r="R30" s="110" t="n">
        <x:f>SUM(R25:R29)</x:f>
        <x:v>12981.997761418195</x:v>
      </x:c>
      <x:c r="S30" s="110" t="n">
        <x:f>SUM(S25:S29)</x:f>
        <x:v>13978.997263466923</x:v>
      </x:c>
      <x:c r="T30" s="110" t="n">
        <x:f>SUM(T25:T29)</x:f>
        <x:v>14901.378553820392</x:v>
      </x:c>
      <x:c r="U30" s="110" t="n">
        <x:f>SUM(U25:U29)</x:f>
        <x:v>15871.864539776889</x:v>
      </x:c>
      <x:c r="V30" s="110" t="n">
        <x:f>SUM(V25:V29)</x:f>
        <x:v>16893.3415030726</x:v>
      </x:c>
      <x:c r="W30" s="110" t="n">
        <x:f>SUM(W25:W29)</x:f>
        <x:v>17968.868902347862</x:v>
      </x:c>
      <x:c r="X30" s="110" t="n">
        <x:f>SUM(X25:X29)</x:f>
        <x:v>19101.68976376146</x:v>
      </x:c>
      <x:c r="Y30" s="110" t="n">
        <x:f>SUM(Y25:Y29)</x:f>
        <x:v>20295.241695041695</x:v>
      </x:c>
      <x:c r="Z30" s="101"/>
    </x:row>
    <x:row r="31">
      <x:c r="A31" s="122" t="str">
        <x:v>Contribution profit</x:v>
      </x:c>
      <x:c r="B31" s="123" t="n">
        <x:f>B17-B30</x:f>
        <x:v>3353.765625</x:v>
      </x:c>
      <x:c r="C31" s="123" t="n">
        <x:f>C17-C30</x:f>
        <x:v>3655.6045312499996</x:v>
      </x:c>
      <x:c r="D31" s="123" t="n">
        <x:f>D17-D30</x:f>
        <x:v>3984.6089390625</x:v>
      </x:c>
      <x:c r="E31" s="123" t="n">
        <x:f>E17-E30</x:f>
        <x:v>4343.223743578125</x:v>
      </x:c>
      <x:c r="F31" s="123" t="n">
        <x:f>F17-F30</x:f>
        <x:v>4734.1138805001565</x:v>
      </x:c>
      <x:c r="G31" s="123" t="n">
        <x:f>G17-G30</x:f>
        <x:v>5160.184129745172</x:v>
      </x:c>
      <x:c r="H31" s="123" t="n">
        <x:f>H17-H30</x:f>
        <x:v>6839.514452929442</x:v>
      </x:c>
      <x:c r="I31" s="123" t="n">
        <x:f>I17-I30</x:f>
        <x:v>7455.070753693091</x:v>
      </x:c>
      <x:c r="J31" s="123" t="n">
        <x:f>J17-J30</x:f>
        <x:v>8126.02712152547</x:v>
      </x:c>
      <x:c r="K31" s="123" t="n">
        <x:f>K17-K30</x:f>
        <x:v>8857.369562462762</x:v>
      </x:c>
      <x:c r="L31" s="123" t="n">
        <x:f>L17-L30</x:f>
        <x:v>9654.532823084413</x:v>
      </x:c>
      <x:c r="M31" s="123" t="n">
        <x:f>M17-M30</x:f>
        <x:v>10523.44077716201</x:v>
      </x:c>
      <x:c r="N31" s="123" t="n">
        <x:f>N17-N30</x:f>
        <x:v>13027.254763674888</x:v>
      </x:c>
      <x:c r="O31" s="123" t="n">
        <x:f>O17-O30</x:f>
        <x:v>13985.094049495383</x:v>
      </x:c>
      <x:c r="P31" s="123" t="n">
        <x:f>P17-P30</x:f>
        <x:v>14988.223692465104</x:v>
      </x:c>
      <x:c r="Q31" s="123" t="n">
        <x:f>Q17-Q30</x:f>
        <x:v>16039.361114013012</x:v>
      </x:c>
      <x:c r="R31" s="123" t="n">
        <x:f>R17-R30</x:f>
        <x:v>17141.386780853794</x:v>
      </x:c>
      <x:c r="S31" s="123" t="n">
        <x:f>S17-S30</x:f>
        <x:v>19117.35398770502</x:v>
      </x:c>
      <x:c r="T31" s="123" t="n">
        <x:f>T17-T30</x:f>
        <x:v>20603.832560300663</x:v>
      </x:c>
      <x:c r="U31" s="123" t="n">
        <x:f>U17-U30</x:f>
        <x:v>22150.919847252026</x:v>
      </x:c>
      <x:c r="V31" s="123" t="n">
        <x:f>V17-V30</x:f>
        <x:v>23762.25237142049</x:v>
      </x:c>
      <x:c r="W31" s="123" t="n">
        <x:f>W17-W30</x:f>
        <x:v>25441.68484703905</x:v>
      </x:c>
      <x:c r="X31" s="123" t="n">
        <x:f>X17-X30</x:f>
        <x:v>27193.30327119473</x:v>
      </x:c>
      <x:c r="Y31" s="123" t="n">
        <x:f>Y17-Y30</x:f>
        <x:v>29021.438800799748</x:v>
      </x:c>
      <x:c r="Z31" s="101"/>
    </x:row>
    <x:row r="32">
      <x:c r="A32" s="101" t="str">
        <x:v>Contribution margin</x:v>
      </x:c>
      <x:c r="B32" s="121" t="n">
        <x:f>B31/B17</x:f>
        <x:v>0.557509090909091</x:v>
      </x:c>
      <x:c r="C32" s="121" t="n">
        <x:f>C31/C17</x:f>
        <x:v>0.5575090909090908</x:v>
      </x:c>
      <x:c r="D32" s="121" t="n">
        <x:f>D31/D17</x:f>
        <x:v>0.5575090909090908</x:v>
      </x:c>
      <x:c r="E32" s="121" t="n">
        <x:f>E31/E17</x:f>
        <x:v>0.557509090909091</x:v>
      </x:c>
      <x:c r="F32" s="121" t="n">
        <x:f>F31/F17</x:f>
        <x:v>0.5575090909090908</x:v>
      </x:c>
      <x:c r="G32" s="121" t="n">
        <x:f>G31/G17</x:f>
        <x:v>0.557509090909091</x:v>
      </x:c>
      <x:c r="H32" s="121" t="n">
        <x:f>H31/H17</x:f>
        <x:v>0.5575090909090908</x:v>
      </x:c>
      <x:c r="I32" s="121" t="n">
        <x:f>I31/I17</x:f>
        <x:v>0.5575090909090908</x:v>
      </x:c>
      <x:c r="J32" s="121" t="n">
        <x:f>J31/J17</x:f>
        <x:v>0.5575090909090908</x:v>
      </x:c>
      <x:c r="K32" s="121" t="n">
        <x:f>K31/K17</x:f>
        <x:v>0.5575090909090907</x:v>
      </x:c>
      <x:c r="L32" s="121" t="n">
        <x:f>L31/L17</x:f>
        <x:v>0.557509090909091</x:v>
      </x:c>
      <x:c r="M32" s="121" t="n">
        <x:f>M31/M17</x:f>
        <x:v>0.5575090909090908</x:v>
      </x:c>
      <x:c r="N32" s="121" t="n">
        <x:f>N31/N17</x:f>
        <x:v>0.5628337966143194</x:v>
      </x:c>
      <x:c r="O32" s="121" t="n">
        <x:f>O31/O17</x:f>
        <x:v>0.5647481998025083</x:v>
      </x:c>
      <x:c r="P32" s="121" t="n">
        <x:f>P31/P17</x:f>
        <x:v>0.5664004548058533</x:v>
      </x:c>
      <x:c r="Q32" s="121" t="n">
        <x:f>Q31/Q17</x:f>
        <x:v>0.5678218300065436</x:v>
      </x:c>
      <x:c r="R32" s="121" t="n">
        <x:f>R31/R17</x:f>
        <x:v>0.5690392046351689</x:v>
      </x:c>
      <x:c r="S32" s="121" t="n">
        <x:f>S31/S17</x:f>
        <x:v>0.5776272388040985</x:v>
      </x:c>
      <x:c r="T32" s="121" t="n">
        <x:f>T31/T17</x:f>
        <x:v>0.5803044655635395</x:v>
      </x:c>
      <x:c r="U32" s="121" t="n">
        <x:f>U31/U17</x:f>
        <x:v>0.5825696409232088</x:v>
      </x:c>
      <x:c r="V32" s="121" t="n">
        <x:f>V31/V17</x:f>
        <x:v>0.5844768236512882</x:v>
      </x:c>
      <x:c r="W32" s="121" t="n">
        <x:f>W31/W17</x:f>
        <x:v>0.5860714192662968</x:v>
      </x:c>
      <x:c r="X32" s="121" t="n">
        <x:f>X31/X17</x:f>
        <x:v>0.587391886000755</x:v>
      </x:c>
      <x:c r="Y32" s="121" t="n">
        <x:f>Y31/Y17</x:f>
        <x:v>0.5884710509509442</x:v>
      </x:c>
      <x:c r="Z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</x:row>
    <x:row r="34" ht="21" customHeight="1">
      <x:c r="A34" s="20" t="str">
        <x:v>Operating expenses and EBITDA</x:v>
      </x:c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2"/>
      <x:c r="Z34" s="101"/>
    </x:row>
    <x:row r="35">
      <x:c r="A35" s="101" t="str">
        <x:v>Founder compensation</x:v>
      </x:c>
      <x:c r="B35" s="120" t="n">
        <x:f>'Assumptions'!$B$44</x:f>
        <x:v>5000</x:v>
      </x:c>
      <x:c r="C35" s="120" t="n">
        <x:f>'Assumptions'!$B$44</x:f>
        <x:v>5000</x:v>
      </x:c>
      <x:c r="D35" s="120" t="n">
        <x:f>'Assumptions'!$B$44</x:f>
        <x:v>5000</x:v>
      </x:c>
      <x:c r="E35" s="120" t="n">
        <x:f>'Assumptions'!$C$44</x:f>
        <x:v>6000</x:v>
      </x:c>
      <x:c r="F35" s="120" t="n">
        <x:f>'Assumptions'!$C$44</x:f>
        <x:v>6000</x:v>
      </x:c>
      <x:c r="G35" s="120" t="n">
        <x:f>'Assumptions'!$C$44</x:f>
        <x:v>6000</x:v>
      </x:c>
      <x:c r="H35" s="120" t="n">
        <x:f>'Assumptions'!$C$44</x:f>
        <x:v>6000</x:v>
      </x:c>
      <x:c r="I35" s="120" t="n">
        <x:f>'Assumptions'!$C$44</x:f>
        <x:v>6000</x:v>
      </x:c>
      <x:c r="J35" s="120" t="n">
        <x:f>'Assumptions'!$C$44</x:f>
        <x:v>6000</x:v>
      </x:c>
      <x:c r="K35" s="120" t="n">
        <x:f>'Assumptions'!$C$44</x:f>
        <x:v>6000</x:v>
      </x:c>
      <x:c r="L35" s="120" t="n">
        <x:f>'Assumptions'!$C$44</x:f>
        <x:v>6000</x:v>
      </x:c>
      <x:c r="M35" s="120" t="n">
        <x:f>'Assumptions'!$C$44</x:f>
        <x:v>6000</x:v>
      </x:c>
      <x:c r="N35" s="120" t="n">
        <x:f>'Assumptions'!$D$44</x:f>
        <x:v>7000</x:v>
      </x:c>
      <x:c r="O35" s="120" t="n">
        <x:f>'Assumptions'!$D$44</x:f>
        <x:v>7000</x:v>
      </x:c>
      <x:c r="P35" s="120" t="n">
        <x:f>'Assumptions'!$D$44</x:f>
        <x:v>7000</x:v>
      </x:c>
      <x:c r="Q35" s="120" t="n">
        <x:f>'Assumptions'!$D$44</x:f>
        <x:v>7000</x:v>
      </x:c>
      <x:c r="R35" s="120" t="n">
        <x:f>'Assumptions'!$D$44</x:f>
        <x:v>7000</x:v>
      </x:c>
      <x:c r="S35" s="120" t="n">
        <x:f>'Assumptions'!$D$44</x:f>
        <x:v>7000</x:v>
      </x:c>
      <x:c r="T35" s="120" t="n">
        <x:f>'Assumptions'!$D$44</x:f>
        <x:v>7000</x:v>
      </x:c>
      <x:c r="U35" s="120" t="n">
        <x:f>'Assumptions'!$D$44</x:f>
        <x:v>7000</x:v>
      </x:c>
      <x:c r="V35" s="120" t="n">
        <x:f>'Assumptions'!$D$44</x:f>
        <x:v>7000</x:v>
      </x:c>
      <x:c r="W35" s="120" t="n">
        <x:f>'Assumptions'!$D$44</x:f>
        <x:v>7000</x:v>
      </x:c>
      <x:c r="X35" s="120" t="n">
        <x:f>'Assumptions'!$D$44</x:f>
        <x:v>7000</x:v>
      </x:c>
      <x:c r="Y35" s="120" t="n">
        <x:f>'Assumptions'!$D$44</x:f>
        <x:v>7000</x:v>
      </x:c>
      <x:c r="Z35" s="101"/>
    </x:row>
    <x:row r="36">
      <x:c r="A36" s="101" t="str">
        <x:v>Operations / customer support</x:v>
      </x:c>
      <x:c r="B36" s="120" t="n">
        <x:f>'Assumptions'!$B$45</x:f>
        <x:v>0</x:v>
      </x:c>
      <x:c r="C36" s="120" t="n">
        <x:f>'Assumptions'!$B$45</x:f>
        <x:v>0</x:v>
      </x:c>
      <x:c r="D36" s="120" t="n">
        <x:f>'Assumptions'!$B$45</x:f>
        <x:v>0</x:v>
      </x:c>
      <x:c r="E36" s="120" t="n">
        <x:f>'Assumptions'!$C$45</x:f>
        <x:v>1500</x:v>
      </x:c>
      <x:c r="F36" s="120" t="n">
        <x:f>'Assumptions'!$C$45</x:f>
        <x:v>1500</x:v>
      </x:c>
      <x:c r="G36" s="120" t="n">
        <x:f>'Assumptions'!$C$45</x:f>
        <x:v>1500</x:v>
      </x:c>
      <x:c r="H36" s="120" t="n">
        <x:f>'Assumptions'!$C$45</x:f>
        <x:v>1500</x:v>
      </x:c>
      <x:c r="I36" s="120" t="n">
        <x:f>'Assumptions'!$C$45</x:f>
        <x:v>1500</x:v>
      </x:c>
      <x:c r="J36" s="120" t="n">
        <x:f>'Assumptions'!$C$45</x:f>
        <x:v>1500</x:v>
      </x:c>
      <x:c r="K36" s="120" t="n">
        <x:f>'Assumptions'!$C$45</x:f>
        <x:v>1500</x:v>
      </x:c>
      <x:c r="L36" s="120" t="n">
        <x:f>'Assumptions'!$C$45</x:f>
        <x:v>1500</x:v>
      </x:c>
      <x:c r="M36" s="120" t="n">
        <x:f>'Assumptions'!$C$45</x:f>
        <x:v>1500</x:v>
      </x:c>
      <x:c r="N36" s="120" t="n">
        <x:f>'Assumptions'!$D$45</x:f>
        <x:v>3000</x:v>
      </x:c>
      <x:c r="O36" s="120" t="n">
        <x:f>'Assumptions'!$D$45</x:f>
        <x:v>3000</x:v>
      </x:c>
      <x:c r="P36" s="120" t="n">
        <x:f>'Assumptions'!$D$45</x:f>
        <x:v>3000</x:v>
      </x:c>
      <x:c r="Q36" s="120" t="n">
        <x:f>'Assumptions'!$D$45</x:f>
        <x:v>3000</x:v>
      </x:c>
      <x:c r="R36" s="120" t="n">
        <x:f>'Assumptions'!$D$45</x:f>
        <x:v>3000</x:v>
      </x:c>
      <x:c r="S36" s="120" t="n">
        <x:f>'Assumptions'!$D$45</x:f>
        <x:v>3000</x:v>
      </x:c>
      <x:c r="T36" s="120" t="n">
        <x:f>'Assumptions'!$D$45</x:f>
        <x:v>3000</x:v>
      </x:c>
      <x:c r="U36" s="120" t="n">
        <x:f>'Assumptions'!$D$45</x:f>
        <x:v>3000</x:v>
      </x:c>
      <x:c r="V36" s="120" t="n">
        <x:f>'Assumptions'!$D$45</x:f>
        <x:v>3000</x:v>
      </x:c>
      <x:c r="W36" s="120" t="n">
        <x:f>'Assumptions'!$D$45</x:f>
        <x:v>3000</x:v>
      </x:c>
      <x:c r="X36" s="120" t="n">
        <x:f>'Assumptions'!$D$45</x:f>
        <x:v>3000</x:v>
      </x:c>
      <x:c r="Y36" s="120" t="n">
        <x:f>'Assumptions'!$D$45</x:f>
        <x:v>3000</x:v>
      </x:c>
      <x:c r="Z36" s="101"/>
    </x:row>
    <x:row r="37">
      <x:c r="A37" s="101" t="str">
        <x:v>Content production</x:v>
      </x:c>
      <x:c r="B37" s="120" t="n">
        <x:f>'Assumptions'!$B$46</x:f>
        <x:v>1500</x:v>
      </x:c>
      <x:c r="C37" s="120" t="n">
        <x:f>'Assumptions'!$B$46</x:f>
        <x:v>1500</x:v>
      </x:c>
      <x:c r="D37" s="120" t="n">
        <x:f>'Assumptions'!$B$46</x:f>
        <x:v>1500</x:v>
      </x:c>
      <x:c r="E37" s="120" t="n">
        <x:f>'Assumptions'!$C$46</x:f>
        <x:v>1500</x:v>
      </x:c>
      <x:c r="F37" s="120" t="n">
        <x:f>'Assumptions'!$C$46</x:f>
        <x:v>1500</x:v>
      </x:c>
      <x:c r="G37" s="120" t="n">
        <x:f>'Assumptions'!$C$46</x:f>
        <x:v>1500</x:v>
      </x:c>
      <x:c r="H37" s="120" t="n">
        <x:f>'Assumptions'!$C$46</x:f>
        <x:v>1500</x:v>
      </x:c>
      <x:c r="I37" s="120" t="n">
        <x:f>'Assumptions'!$C$46</x:f>
        <x:v>1500</x:v>
      </x:c>
      <x:c r="J37" s="120" t="n">
        <x:f>'Assumptions'!$C$46</x:f>
        <x:v>1500</x:v>
      </x:c>
      <x:c r="K37" s="120" t="n">
        <x:f>'Assumptions'!$C$46</x:f>
        <x:v>1500</x:v>
      </x:c>
      <x:c r="L37" s="120" t="n">
        <x:f>'Assumptions'!$C$46</x:f>
        <x:v>1500</x:v>
      </x:c>
      <x:c r="M37" s="120" t="n">
        <x:f>'Assumptions'!$C$46</x:f>
        <x:v>1500</x:v>
      </x:c>
      <x:c r="N37" s="120" t="n">
        <x:f>'Assumptions'!$D$46</x:f>
        <x:v>1500</x:v>
      </x:c>
      <x:c r="O37" s="120" t="n">
        <x:f>'Assumptions'!$D$46</x:f>
        <x:v>1500</x:v>
      </x:c>
      <x:c r="P37" s="120" t="n">
        <x:f>'Assumptions'!$D$46</x:f>
        <x:v>1500</x:v>
      </x:c>
      <x:c r="Q37" s="120" t="n">
        <x:f>'Assumptions'!$D$46</x:f>
        <x:v>1500</x:v>
      </x:c>
      <x:c r="R37" s="120" t="n">
        <x:f>'Assumptions'!$D$46</x:f>
        <x:v>1500</x:v>
      </x:c>
      <x:c r="S37" s="120" t="n">
        <x:f>'Assumptions'!$D$46</x:f>
        <x:v>1500</x:v>
      </x:c>
      <x:c r="T37" s="120" t="n">
        <x:f>'Assumptions'!$D$46</x:f>
        <x:v>1500</x:v>
      </x:c>
      <x:c r="U37" s="120" t="n">
        <x:f>'Assumptions'!$D$46</x:f>
        <x:v>1500</x:v>
      </x:c>
      <x:c r="V37" s="120" t="n">
        <x:f>'Assumptions'!$D$46</x:f>
        <x:v>1500</x:v>
      </x:c>
      <x:c r="W37" s="120" t="n">
        <x:f>'Assumptions'!$D$46</x:f>
        <x:v>1500</x:v>
      </x:c>
      <x:c r="X37" s="120" t="n">
        <x:f>'Assumptions'!$D$46</x:f>
        <x:v>1500</x:v>
      </x:c>
      <x:c r="Y37" s="120" t="n">
        <x:f>'Assumptions'!$D$46</x:f>
        <x:v>1500</x:v>
      </x:c>
      <x:c r="Z37" s="101"/>
    </x:row>
    <x:row r="38">
      <x:c r="A38" s="101" t="str">
        <x:v>Marketing</x:v>
      </x:c>
      <x:c r="B38" s="120" t="n">
        <x:f>'Assumptions'!$B$47</x:f>
        <x:v>1500</x:v>
      </x:c>
      <x:c r="C38" s="120" t="n">
        <x:f>'Assumptions'!$B$47</x:f>
        <x:v>1500</x:v>
      </x:c>
      <x:c r="D38" s="120" t="n">
        <x:f>'Assumptions'!$B$47</x:f>
        <x:v>1500</x:v>
      </x:c>
      <x:c r="E38" s="120" t="n">
        <x:f>'Assumptions'!$C$47</x:f>
        <x:v>2500</x:v>
      </x:c>
      <x:c r="F38" s="120" t="n">
        <x:f>'Assumptions'!$C$47</x:f>
        <x:v>2500</x:v>
      </x:c>
      <x:c r="G38" s="120" t="n">
        <x:f>'Assumptions'!$C$47</x:f>
        <x:v>2500</x:v>
      </x:c>
      <x:c r="H38" s="120" t="n">
        <x:f>'Assumptions'!$C$47</x:f>
        <x:v>2500</x:v>
      </x:c>
      <x:c r="I38" s="120" t="n">
        <x:f>'Assumptions'!$C$47</x:f>
        <x:v>2500</x:v>
      </x:c>
      <x:c r="J38" s="120" t="n">
        <x:f>'Assumptions'!$C$47</x:f>
        <x:v>2500</x:v>
      </x:c>
      <x:c r="K38" s="120" t="n">
        <x:f>'Assumptions'!$C$47</x:f>
        <x:v>2500</x:v>
      </x:c>
      <x:c r="L38" s="120" t="n">
        <x:f>'Assumptions'!$C$47</x:f>
        <x:v>2500</x:v>
      </x:c>
      <x:c r="M38" s="120" t="n">
        <x:f>'Assumptions'!$C$47</x:f>
        <x:v>2500</x:v>
      </x:c>
      <x:c r="N38" s="120" t="n">
        <x:f>'Assumptions'!$D$47</x:f>
        <x:v>3000</x:v>
      </x:c>
      <x:c r="O38" s="120" t="n">
        <x:f>'Assumptions'!$D$47</x:f>
        <x:v>3000</x:v>
      </x:c>
      <x:c r="P38" s="120" t="n">
        <x:f>'Assumptions'!$D$47</x:f>
        <x:v>3000</x:v>
      </x:c>
      <x:c r="Q38" s="120" t="n">
        <x:f>'Assumptions'!$D$47</x:f>
        <x:v>3000</x:v>
      </x:c>
      <x:c r="R38" s="120" t="n">
        <x:f>'Assumptions'!$D$47</x:f>
        <x:v>3000</x:v>
      </x:c>
      <x:c r="S38" s="120" t="n">
        <x:f>'Assumptions'!$D$47</x:f>
        <x:v>3000</x:v>
      </x:c>
      <x:c r="T38" s="120" t="n">
        <x:f>'Assumptions'!$D$47</x:f>
        <x:v>3000</x:v>
      </x:c>
      <x:c r="U38" s="120" t="n">
        <x:f>'Assumptions'!$D$47</x:f>
        <x:v>3000</x:v>
      </x:c>
      <x:c r="V38" s="120" t="n">
        <x:f>'Assumptions'!$D$47</x:f>
        <x:v>3000</x:v>
      </x:c>
      <x:c r="W38" s="120" t="n">
        <x:f>'Assumptions'!$D$47</x:f>
        <x:v>3000</x:v>
      </x:c>
      <x:c r="X38" s="120" t="n">
        <x:f>'Assumptions'!$D$47</x:f>
        <x:v>3000</x:v>
      </x:c>
      <x:c r="Y38" s="120" t="n">
        <x:f>'Assumptions'!$D$47</x:f>
        <x:v>3000</x:v>
      </x:c>
      <x:c r="Z38" s="101"/>
    </x:row>
    <x:row r="39">
      <x:c r="A39" s="101" t="str">
        <x:v>Technology</x:v>
      </x:c>
      <x:c r="B39" s="120" t="n">
        <x:f>'Assumptions'!$B$48</x:f>
        <x:v>600</x:v>
      </x:c>
      <x:c r="C39" s="120" t="n">
        <x:f>'Assumptions'!$B$48</x:f>
        <x:v>600</x:v>
      </x:c>
      <x:c r="D39" s="120" t="n">
        <x:f>'Assumptions'!$B$48</x:f>
        <x:v>600</x:v>
      </x:c>
      <x:c r="E39" s="120" t="n">
        <x:f>'Assumptions'!$C$48</x:f>
        <x:v>900</x:v>
      </x:c>
      <x:c r="F39" s="120" t="n">
        <x:f>'Assumptions'!$C$48</x:f>
        <x:v>900</x:v>
      </x:c>
      <x:c r="G39" s="120" t="n">
        <x:f>'Assumptions'!$C$48</x:f>
        <x:v>900</x:v>
      </x:c>
      <x:c r="H39" s="120" t="n">
        <x:f>'Assumptions'!$C$48</x:f>
        <x:v>900</x:v>
      </x:c>
      <x:c r="I39" s="120" t="n">
        <x:f>'Assumptions'!$C$48</x:f>
        <x:v>900</x:v>
      </x:c>
      <x:c r="J39" s="120" t="n">
        <x:f>'Assumptions'!$C$48</x:f>
        <x:v>900</x:v>
      </x:c>
      <x:c r="K39" s="120" t="n">
        <x:f>'Assumptions'!$C$48</x:f>
        <x:v>900</x:v>
      </x:c>
      <x:c r="L39" s="120" t="n">
        <x:f>'Assumptions'!$C$48</x:f>
        <x:v>900</x:v>
      </x:c>
      <x:c r="M39" s="120" t="n">
        <x:f>'Assumptions'!$C$48</x:f>
        <x:v>900</x:v>
      </x:c>
      <x:c r="N39" s="120" t="n">
        <x:f>'Assumptions'!$D$48</x:f>
        <x:v>1100</x:v>
      </x:c>
      <x:c r="O39" s="120" t="n">
        <x:f>'Assumptions'!$D$48</x:f>
        <x:v>1100</x:v>
      </x:c>
      <x:c r="P39" s="120" t="n">
        <x:f>'Assumptions'!$D$48</x:f>
        <x:v>1100</x:v>
      </x:c>
      <x:c r="Q39" s="120" t="n">
        <x:f>'Assumptions'!$D$48</x:f>
        <x:v>1100</x:v>
      </x:c>
      <x:c r="R39" s="120" t="n">
        <x:f>'Assumptions'!$D$48</x:f>
        <x:v>1100</x:v>
      </x:c>
      <x:c r="S39" s="120" t="n">
        <x:f>'Assumptions'!$D$48</x:f>
        <x:v>1100</x:v>
      </x:c>
      <x:c r="T39" s="120" t="n">
        <x:f>'Assumptions'!$D$48</x:f>
        <x:v>1100</x:v>
      </x:c>
      <x:c r="U39" s="120" t="n">
        <x:f>'Assumptions'!$D$48</x:f>
        <x:v>1100</x:v>
      </x:c>
      <x:c r="V39" s="120" t="n">
        <x:f>'Assumptions'!$D$48</x:f>
        <x:v>1100</x:v>
      </x:c>
      <x:c r="W39" s="120" t="n">
        <x:f>'Assumptions'!$D$48</x:f>
        <x:v>1100</x:v>
      </x:c>
      <x:c r="X39" s="120" t="n">
        <x:f>'Assumptions'!$D$48</x:f>
        <x:v>1100</x:v>
      </x:c>
      <x:c r="Y39" s="120" t="n">
        <x:f>'Assumptions'!$D$48</x:f>
        <x:v>1100</x:v>
      </x:c>
      <x:c r="Z39" s="101"/>
    </x:row>
    <x:row r="40">
      <x:c r="A40" s="101" t="str">
        <x:v>Legal, accounting, and insurance</x:v>
      </x:c>
      <x:c r="B40" s="120" t="n">
        <x:f>'Assumptions'!$B$49</x:f>
        <x:v>1200</x:v>
      </x:c>
      <x:c r="C40" s="120" t="n">
        <x:f>'Assumptions'!$B$49</x:f>
        <x:v>1200</x:v>
      </x:c>
      <x:c r="D40" s="120" t="n">
        <x:f>'Assumptions'!$B$49</x:f>
        <x:v>1200</x:v>
      </x:c>
      <x:c r="E40" s="120" t="n">
        <x:f>'Assumptions'!$C$49</x:f>
        <x:v>1500</x:v>
      </x:c>
      <x:c r="F40" s="120" t="n">
        <x:f>'Assumptions'!$C$49</x:f>
        <x:v>1500</x:v>
      </x:c>
      <x:c r="G40" s="120" t="n">
        <x:f>'Assumptions'!$C$49</x:f>
        <x:v>1500</x:v>
      </x:c>
      <x:c r="H40" s="120" t="n">
        <x:f>'Assumptions'!$C$49</x:f>
        <x:v>1500</x:v>
      </x:c>
      <x:c r="I40" s="120" t="n">
        <x:f>'Assumptions'!$C$49</x:f>
        <x:v>1500</x:v>
      </x:c>
      <x:c r="J40" s="120" t="n">
        <x:f>'Assumptions'!$C$49</x:f>
        <x:v>1500</x:v>
      </x:c>
      <x:c r="K40" s="120" t="n">
        <x:f>'Assumptions'!$C$49</x:f>
        <x:v>1500</x:v>
      </x:c>
      <x:c r="L40" s="120" t="n">
        <x:f>'Assumptions'!$C$49</x:f>
        <x:v>1500</x:v>
      </x:c>
      <x:c r="M40" s="120" t="n">
        <x:f>'Assumptions'!$C$49</x:f>
        <x:v>1500</x:v>
      </x:c>
      <x:c r="N40" s="120" t="n">
        <x:f>'Assumptions'!$D$49</x:f>
        <x:v>1800</x:v>
      </x:c>
      <x:c r="O40" s="120" t="n">
        <x:f>'Assumptions'!$D$49</x:f>
        <x:v>1800</x:v>
      </x:c>
      <x:c r="P40" s="120" t="n">
        <x:f>'Assumptions'!$D$49</x:f>
        <x:v>1800</x:v>
      </x:c>
      <x:c r="Q40" s="120" t="n">
        <x:f>'Assumptions'!$D$49</x:f>
        <x:v>1800</x:v>
      </x:c>
      <x:c r="R40" s="120" t="n">
        <x:f>'Assumptions'!$D$49</x:f>
        <x:v>1800</x:v>
      </x:c>
      <x:c r="S40" s="120" t="n">
        <x:f>'Assumptions'!$D$49</x:f>
        <x:v>1800</x:v>
      </x:c>
      <x:c r="T40" s="120" t="n">
        <x:f>'Assumptions'!$D$49</x:f>
        <x:v>1800</x:v>
      </x:c>
      <x:c r="U40" s="120" t="n">
        <x:f>'Assumptions'!$D$49</x:f>
        <x:v>1800</x:v>
      </x:c>
      <x:c r="V40" s="120" t="n">
        <x:f>'Assumptions'!$D$49</x:f>
        <x:v>1800</x:v>
      </x:c>
      <x:c r="W40" s="120" t="n">
        <x:f>'Assumptions'!$D$49</x:f>
        <x:v>1800</x:v>
      </x:c>
      <x:c r="X40" s="120" t="n">
        <x:f>'Assumptions'!$D$49</x:f>
        <x:v>1800</x:v>
      </x:c>
      <x:c r="Y40" s="120" t="n">
        <x:f>'Assumptions'!$D$49</x:f>
        <x:v>1800</x:v>
      </x:c>
      <x:c r="Z40" s="101"/>
    </x:row>
    <x:row r="41">
      <x:c r="A41" s="101" t="str">
        <x:v>Events and partner hosting</x:v>
      </x:c>
      <x:c r="B41" s="120" t="n">
        <x:f>'Assumptions'!$B$50</x:f>
        <x:v>1000</x:v>
      </x:c>
      <x:c r="C41" s="120" t="n">
        <x:f>'Assumptions'!$B$50</x:f>
        <x:v>1000</x:v>
      </x:c>
      <x:c r="D41" s="120" t="n">
        <x:f>'Assumptions'!$B$50</x:f>
        <x:v>1000</x:v>
      </x:c>
      <x:c r="E41" s="120" t="n">
        <x:f>'Assumptions'!$C$50</x:f>
        <x:v>1500</x:v>
      </x:c>
      <x:c r="F41" s="120" t="n">
        <x:f>'Assumptions'!$C$50</x:f>
        <x:v>1500</x:v>
      </x:c>
      <x:c r="G41" s="120" t="n">
        <x:f>'Assumptions'!$C$50</x:f>
        <x:v>1500</x:v>
      </x:c>
      <x:c r="H41" s="120" t="n">
        <x:f>'Assumptions'!$C$50</x:f>
        <x:v>1500</x:v>
      </x:c>
      <x:c r="I41" s="120" t="n">
        <x:f>'Assumptions'!$C$50</x:f>
        <x:v>1500</x:v>
      </x:c>
      <x:c r="J41" s="120" t="n">
        <x:f>'Assumptions'!$C$50</x:f>
        <x:v>1500</x:v>
      </x:c>
      <x:c r="K41" s="120" t="n">
        <x:f>'Assumptions'!$C$50</x:f>
        <x:v>1500</x:v>
      </x:c>
      <x:c r="L41" s="120" t="n">
        <x:f>'Assumptions'!$C$50</x:f>
        <x:v>1500</x:v>
      </x:c>
      <x:c r="M41" s="120" t="n">
        <x:f>'Assumptions'!$C$50</x:f>
        <x:v>1500</x:v>
      </x:c>
      <x:c r="N41" s="120" t="n">
        <x:f>'Assumptions'!$D$50</x:f>
        <x:v>2000</x:v>
      </x:c>
      <x:c r="O41" s="120" t="n">
        <x:f>'Assumptions'!$D$50</x:f>
        <x:v>2000</x:v>
      </x:c>
      <x:c r="P41" s="120" t="n">
        <x:f>'Assumptions'!$D$50</x:f>
        <x:v>2000</x:v>
      </x:c>
      <x:c r="Q41" s="120" t="n">
        <x:f>'Assumptions'!$D$50</x:f>
        <x:v>2000</x:v>
      </x:c>
      <x:c r="R41" s="120" t="n">
        <x:f>'Assumptions'!$D$50</x:f>
        <x:v>2000</x:v>
      </x:c>
      <x:c r="S41" s="120" t="n">
        <x:f>'Assumptions'!$D$50</x:f>
        <x:v>2000</x:v>
      </x:c>
      <x:c r="T41" s="120" t="n">
        <x:f>'Assumptions'!$D$50</x:f>
        <x:v>2000</x:v>
      </x:c>
      <x:c r="U41" s="120" t="n">
        <x:f>'Assumptions'!$D$50</x:f>
        <x:v>2000</x:v>
      </x:c>
      <x:c r="V41" s="120" t="n">
        <x:f>'Assumptions'!$D$50</x:f>
        <x:v>2000</x:v>
      </x:c>
      <x:c r="W41" s="120" t="n">
        <x:f>'Assumptions'!$D$50</x:f>
        <x:v>2000</x:v>
      </x:c>
      <x:c r="X41" s="120" t="n">
        <x:f>'Assumptions'!$D$50</x:f>
        <x:v>2000</x:v>
      </x:c>
      <x:c r="Y41" s="120" t="n">
        <x:f>'Assumptions'!$D$50</x:f>
        <x:v>2000</x:v>
      </x:c>
      <x:c r="Z41" s="101"/>
    </x:row>
    <x:row r="42">
      <x:c r="A42" s="101" t="str">
        <x:v>General and administrative</x:v>
      </x:c>
      <x:c r="B42" s="120" t="n">
        <x:f>'Assumptions'!$B$51</x:f>
        <x:v>500</x:v>
      </x:c>
      <x:c r="C42" s="120" t="n">
        <x:f>'Assumptions'!$B$51</x:f>
        <x:v>500</x:v>
      </x:c>
      <x:c r="D42" s="120" t="n">
        <x:f>'Assumptions'!$B$51</x:f>
        <x:v>500</x:v>
      </x:c>
      <x:c r="E42" s="120" t="n">
        <x:f>'Assumptions'!$C$51</x:f>
        <x:v>500</x:v>
      </x:c>
      <x:c r="F42" s="120" t="n">
        <x:f>'Assumptions'!$C$51</x:f>
        <x:v>500</x:v>
      </x:c>
      <x:c r="G42" s="120" t="n">
        <x:f>'Assumptions'!$C$51</x:f>
        <x:v>500</x:v>
      </x:c>
      <x:c r="H42" s="120" t="n">
        <x:f>'Assumptions'!$C$51</x:f>
        <x:v>500</x:v>
      </x:c>
      <x:c r="I42" s="120" t="n">
        <x:f>'Assumptions'!$C$51</x:f>
        <x:v>500</x:v>
      </x:c>
      <x:c r="J42" s="120" t="n">
        <x:f>'Assumptions'!$C$51</x:f>
        <x:v>500</x:v>
      </x:c>
      <x:c r="K42" s="120" t="n">
        <x:f>'Assumptions'!$C$51</x:f>
        <x:v>500</x:v>
      </x:c>
      <x:c r="L42" s="120" t="n">
        <x:f>'Assumptions'!$C$51</x:f>
        <x:v>500</x:v>
      </x:c>
      <x:c r="M42" s="120" t="n">
        <x:f>'Assumptions'!$C$51</x:f>
        <x:v>500</x:v>
      </x:c>
      <x:c r="N42" s="120" t="n">
        <x:f>'Assumptions'!$D$51</x:f>
        <x:v>600</x:v>
      </x:c>
      <x:c r="O42" s="120" t="n">
        <x:f>'Assumptions'!$D$51</x:f>
        <x:v>600</x:v>
      </x:c>
      <x:c r="P42" s="120" t="n">
        <x:f>'Assumptions'!$D$51</x:f>
        <x:v>600</x:v>
      </x:c>
      <x:c r="Q42" s="120" t="n">
        <x:f>'Assumptions'!$D$51</x:f>
        <x:v>600</x:v>
      </x:c>
      <x:c r="R42" s="120" t="n">
        <x:f>'Assumptions'!$D$51</x:f>
        <x:v>600</x:v>
      </x:c>
      <x:c r="S42" s="120" t="n">
        <x:f>'Assumptions'!$D$51</x:f>
        <x:v>600</x:v>
      </x:c>
      <x:c r="T42" s="120" t="n">
        <x:f>'Assumptions'!$D$51</x:f>
        <x:v>600</x:v>
      </x:c>
      <x:c r="U42" s="120" t="n">
        <x:f>'Assumptions'!$D$51</x:f>
        <x:v>600</x:v>
      </x:c>
      <x:c r="V42" s="120" t="n">
        <x:f>'Assumptions'!$D$51</x:f>
        <x:v>600</x:v>
      </x:c>
      <x:c r="W42" s="120" t="n">
        <x:f>'Assumptions'!$D$51</x:f>
        <x:v>600</x:v>
      </x:c>
      <x:c r="X42" s="120" t="n">
        <x:f>'Assumptions'!$D$51</x:f>
        <x:v>600</x:v>
      </x:c>
      <x:c r="Y42" s="120" t="n">
        <x:f>'Assumptions'!$D$51</x:f>
        <x:v>600</x:v>
      </x:c>
      <x:c r="Z42" s="101"/>
    </x:row>
    <x:row r="43">
      <x:c r="A43" s="114" t="str">
        <x:v>Total operating expenses</x:v>
      </x:c>
      <x:c r="B43" s="115" t="n">
        <x:f>SUM(B35:B42)</x:f>
        <x:v>11300</x:v>
      </x:c>
      <x:c r="C43" s="115" t="n">
        <x:f>SUM(C35:C42)</x:f>
        <x:v>11300</x:v>
      </x:c>
      <x:c r="D43" s="115" t="n">
        <x:f>SUM(D35:D42)</x:f>
        <x:v>11300</x:v>
      </x:c>
      <x:c r="E43" s="115" t="n">
        <x:f>SUM(E35:E42)</x:f>
        <x:v>15900</x:v>
      </x:c>
      <x:c r="F43" s="115" t="n">
        <x:f>SUM(F35:F42)</x:f>
        <x:v>15900</x:v>
      </x:c>
      <x:c r="G43" s="115" t="n">
        <x:f>SUM(G35:G42)</x:f>
        <x:v>15900</x:v>
      </x:c>
      <x:c r="H43" s="115" t="n">
        <x:f>SUM(H35:H42)</x:f>
        <x:v>15900</x:v>
      </x:c>
      <x:c r="I43" s="115" t="n">
        <x:f>SUM(I35:I42)</x:f>
        <x:v>15900</x:v>
      </x:c>
      <x:c r="J43" s="115" t="n">
        <x:f>SUM(J35:J42)</x:f>
        <x:v>15900</x:v>
      </x:c>
      <x:c r="K43" s="115" t="n">
        <x:f>SUM(K35:K42)</x:f>
        <x:v>15900</x:v>
      </x:c>
      <x:c r="L43" s="115" t="n">
        <x:f>SUM(L35:L42)</x:f>
        <x:v>15900</x:v>
      </x:c>
      <x:c r="M43" s="115" t="n">
        <x:f>SUM(M35:M42)</x:f>
        <x:v>15900</x:v>
      </x:c>
      <x:c r="N43" s="115" t="n">
        <x:f>SUM(N35:N42)</x:f>
        <x:v>20000</x:v>
      </x:c>
      <x:c r="O43" s="115" t="n">
        <x:f>SUM(O35:O42)</x:f>
        <x:v>20000</x:v>
      </x:c>
      <x:c r="P43" s="115" t="n">
        <x:f>SUM(P35:P42)</x:f>
        <x:v>20000</x:v>
      </x:c>
      <x:c r="Q43" s="115" t="n">
        <x:f>SUM(Q35:Q42)</x:f>
        <x:v>20000</x:v>
      </x:c>
      <x:c r="R43" s="115" t="n">
        <x:f>SUM(R35:R42)</x:f>
        <x:v>20000</x:v>
      </x:c>
      <x:c r="S43" s="115" t="n">
        <x:f>SUM(S35:S42)</x:f>
        <x:v>20000</x:v>
      </x:c>
      <x:c r="T43" s="115" t="n">
        <x:f>SUM(T35:T42)</x:f>
        <x:v>20000</x:v>
      </x:c>
      <x:c r="U43" s="115" t="n">
        <x:f>SUM(U35:U42)</x:f>
        <x:v>20000</x:v>
      </x:c>
      <x:c r="V43" s="115" t="n">
        <x:f>SUM(V35:V42)</x:f>
        <x:v>20000</x:v>
      </x:c>
      <x:c r="W43" s="115" t="n">
        <x:f>SUM(W35:W42)</x:f>
        <x:v>20000</x:v>
      </x:c>
      <x:c r="X43" s="115" t="n">
        <x:f>SUM(X35:X42)</x:f>
        <x:v>20000</x:v>
      </x:c>
      <x:c r="Y43" s="115" t="n">
        <x:f>SUM(Y35:Y42)</x:f>
        <x:v>20000</x:v>
      </x:c>
      <x:c r="Z43" s="101"/>
    </x:row>
    <x:row r="44">
      <x:c r="A44" s="124" t="str">
        <x:v>EBITDA</x:v>
      </x:c>
      <x:c r="B44" s="125" t="n">
        <x:f>B31-B43</x:f>
        <x:v>-7946.234375</x:v>
      </x:c>
      <x:c r="C44" s="125" t="n">
        <x:f>C31-C43</x:f>
        <x:v>-7644.395468750001</x:v>
      </x:c>
      <x:c r="D44" s="125" t="n">
        <x:f>D31-D43</x:f>
        <x:v>-7315.3910609375</x:v>
      </x:c>
      <x:c r="E44" s="125" t="n">
        <x:f>E31-E43</x:f>
        <x:v>-11556.776256421876</x:v>
      </x:c>
      <x:c r="F44" s="125" t="n">
        <x:f>F31-F43</x:f>
        <x:v>-11165.886119499843</x:v>
      </x:c>
      <x:c r="G44" s="125" t="n">
        <x:f>G31-G43</x:f>
        <x:v>-10739.815870254828</x:v>
      </x:c>
      <x:c r="H44" s="125" t="n">
        <x:f>H31-H43</x:f>
        <x:v>-9060.485547070559</x:v>
      </x:c>
      <x:c r="I44" s="125" t="n">
        <x:f>I31-I43</x:f>
        <x:v>-8444.929246306909</x:v>
      </x:c>
      <x:c r="J44" s="125" t="n">
        <x:f>J31-J43</x:f>
        <x:v>-7773.97287847453</x:v>
      </x:c>
      <x:c r="K44" s="125" t="n">
        <x:f>K31-K43</x:f>
        <x:v>-7042.630437537238</x:v>
      </x:c>
      <x:c r="L44" s="125" t="n">
        <x:f>L31-L43</x:f>
        <x:v>-6245.467176915587</x:v>
      </x:c>
      <x:c r="M44" s="125" t="n">
        <x:f>M31-M43</x:f>
        <x:v>-5376.55922283799</x:v>
      </x:c>
      <x:c r="N44" s="125" t="n">
        <x:f>N31-N43</x:f>
        <x:v>-6972.745236325112</x:v>
      </x:c>
      <x:c r="O44" s="125" t="n">
        <x:f>O31-O43</x:f>
        <x:v>-6014.905950504617</x:v>
      </x:c>
      <x:c r="P44" s="125" t="n">
        <x:f>P31-P43</x:f>
        <x:v>-5011.776307534896</x:v>
      </x:c>
      <x:c r="Q44" s="125" t="n">
        <x:f>Q31-Q43</x:f>
        <x:v>-3960.6388859869876</x:v>
      </x:c>
      <x:c r="R44" s="125" t="n">
        <x:f>R31-R43</x:f>
        <x:v>-2858.6132191462057</x:v>
      </x:c>
      <x:c r="S44" s="125" t="n">
        <x:f>S31-S43</x:f>
        <x:v>-882.6460122949793</x:v>
      </x:c>
      <x:c r="T44" s="125" t="n">
        <x:f>T31-T43</x:f>
        <x:v>603.8325603006633</x:v>
      </x:c>
      <x:c r="U44" s="125" t="n">
        <x:f>U31-U43</x:f>
        <x:v>2150.9198472520256</x:v>
      </x:c>
      <x:c r="V44" s="125" t="n">
        <x:f>V31-V43</x:f>
        <x:v>3762.252371420491</x:v>
      </x:c>
      <x:c r="W44" s="125" t="n">
        <x:f>W31-W43</x:f>
        <x:v>5441.6848470390505</x:v>
      </x:c>
      <x:c r="X44" s="125" t="n">
        <x:f>X31-X43</x:f>
        <x:v>7193.303271194731</x:v>
      </x:c>
      <x:c r="Y44" s="125" t="n">
        <x:f>Y31-Y43</x:f>
        <x:v>9021.438800799748</x:v>
      </x:c>
      <x:c r="Z44" s="101"/>
    </x:row>
    <x:row r="45">
      <x:c r="A45" s="101" t="str">
        <x:v>EBITDA margin</x:v>
      </x:c>
      <x:c r="B45" s="121" t="n">
        <x:f>B44/B17</x:f>
        <x:v>-1.3209324675324676</x:v>
      </x:c>
      <x:c r="C45" s="121" t="n">
        <x:f>C44/C17</x:f>
        <x:v>-1.1658317883950913</x:v>
      </x:c>
      <x:c r="D45" s="121" t="n">
        <x:f>D44/D17</x:f>
        <x:v>-1.0235375873516264</x:v>
      </x:c>
      <x:c r="E45" s="121" t="n">
        <x:f>E44/E17</x:f>
        <x:v>-1.483462102104257</x:v>
      </x:c>
      <x:c r="F45" s="121" t="n">
        <x:f>F44/F17</x:f>
        <x:v>-1.3149415448829713</x:v>
      </x:c>
      <x:c r="G45" s="121" t="n">
        <x:f>G44/G17</x:f>
        <x:v>-1.1603355290836264</x:v>
      </x:c>
      <x:c r="H45" s="121" t="n">
        <x:f>H44/H17</x:f>
        <x:v>-0.7385470262993207</x:v>
      </x:c>
      <x:c r="I45" s="121" t="n">
        <x:f>I44/I17</x:f>
        <x:v>-0.6315332184564243</x:v>
      </x:c>
      <x:c r="J45" s="121" t="n">
        <x:f>J44/J17</x:f>
        <x:v>-0.5333554130959689</x:v>
      </x:c>
      <x:c r="K45" s="121" t="n">
        <x:f>K44/K17</x:f>
        <x:v>-0.4432840320313309</x:v>
      </x:c>
      <x:c r="L45" s="121" t="n">
        <x:f>L44/L17</x:f>
        <x:v>-0.360649737476617</x:v>
      </x:c>
      <x:c r="M45" s="121" t="n">
        <x:f>M44/M17</x:f>
        <x:v>-0.28483845806862274</x:v>
      </x:c>
      <x:c r="N45" s="121" t="n">
        <x:f>N44/N17</x:f>
        <x:v>-0.3012527769955274</x:v>
      </x:c>
      <x:c r="O45" s="121" t="n">
        <x:f>O44/O17</x:f>
        <x:v>-0.24289484900900232</x:v>
      </x:c>
      <x:c r="P45" s="121" t="n">
        <x:f>P44/P17</x:f>
        <x:v>-0.18939351575063731</x:v>
      </x:c>
      <x:c r="Q45" s="121" t="n">
        <x:f>Q44/Q17</x:f>
        <x:v>-0.14021364094554825</x:v>
      </x:c>
      <x:c r="R45" s="121" t="n">
        <x:f>R44/R17</x:f>
        <x:v>-0.09489681397303575</x:v>
      </x:c>
      <x:c r="S45" s="121" t="n">
        <x:f>S44/S17</x:f>
        <x:v>-0.026668982498900835</x:v>
      </x:c>
      <x:c r="T45" s="121" t="n">
        <x:f>T44/T17</x:f>
        <x:v>0.017006871424023396</x:v>
      </x:c>
      <x:c r="U45" s="121" t="n">
        <x:f>U44/U17</x:f>
        <x:v>0.05656923557617706</x:v>
      </x:c>
      <x:c r="V45" s="121" t="n">
        <x:f>V44/V17</x:f>
        <x:v>0.09253959942227999</x:v>
      </x:c>
      <x:c r="W45" s="121" t="n">
        <x:f>W44/W17</x:f>
        <x:v>0.12535396066252447</x:v>
      </x:c>
      <x:c r="X45" s="121" t="n">
        <x:f>X44/X17</x:f>
        <x:v>0.15537972466619115</x:v>
      </x:c>
      <x:c r="Y45" s="121" t="n">
        <x:f>Y44/Y17</x:f>
        <x:v>0.18292875169407372</x:v>
      </x:c>
      <x:c r="Z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</x:row>
  </x:sheetData>
  <x:mergeCells>
    <x:mergeCell ref="A2:Y2"/>
    <x:mergeCell ref="A3:Y3"/>
    <x:mergeCell ref="A5:Y5"/>
    <x:mergeCell ref="A19:Y19"/>
    <x:mergeCell ref="A34:Y3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 ht="28" customHeight="1">
      <x:c r="A2" s="4" t="str">
        <x:v>Funnel and delivery capacity</x:v>
      </x:c>
      <x:c r="B2" s="4"/>
      <x:c r="C2" s="4"/>
      <x:c r="D2" s="4"/>
      <x:c r="E2" s="4"/>
      <x:c r="F2" s="4"/>
      <x:c r="G2" s="4"/>
      <x:c r="H2" s="4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</x:row>
    <x:row r="3" ht="20" customHeight="1">
      <x:c r="A3" s="6" t="str">
        <x:v>The launch case is constrained by qualified demand and delivery hours, not national market share.</x:v>
      </x:c>
      <x:c r="B3" s="6"/>
      <x:c r="C3" s="6"/>
      <x:c r="D3" s="6"/>
      <x:c r="E3" s="6"/>
      <x:c r="F3" s="6"/>
      <x:c r="G3" s="6"/>
      <x:c r="H3" s="6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</x:row>
    <x:row r="4">
      <x:c r="A4" s="101"/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</x:row>
    <x:row r="5" ht="26" customHeight="1">
      <x:c r="A5" s="34" t="str">
        <x:v>Checkpoint</x:v>
      </x:c>
      <x:c r="B5" s="35" t="str">
        <x:v>Qualified leads</x:v>
      </x:c>
      <x:c r="C5" s="35" t="str">
        <x:v>Paid engagements</x:v>
      </x:c>
      <x:c r="D5" s="35" t="str">
        <x:v>Delivery hours</x:v>
      </x:c>
      <x:c r="E5" s="35" t="str">
        <x:v>Capacity hours</x:v>
      </x:c>
      <x:c r="F5" s="35" t="str">
        <x:v>Utilization</x:v>
      </x:c>
      <x:c r="G5" s="36" t="str">
        <x:v>Monthly revenue</x:v>
      </x:c>
      <x:c r="H5" s="10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</x:row>
    <x:row r="6">
      <x:c r="A6" s="101" t="str">
        <x:v>Month 3</x:v>
      </x:c>
      <x:c r="B6" s="119" t="n">
        <x:f>'24-Month Plan'!D6</x:f>
        <x:v>47.52400000000001</x:v>
      </x:c>
      <x:c r="C6" s="119" t="n">
        <x:f>'24-Month Plan'!D10</x:f>
        <x:v>4.15835</x:v>
      </x:c>
      <x:c r="D6" s="119" t="n">
        <x:f>'24-Month Plan'!D21</x:f>
        <x:v>36.22962437500001</x:v>
      </x:c>
      <x:c r="E6" s="119" t="n">
        <x:f>'24-Month Plan'!D22</x:f>
        <x:v>80</x:v>
      </x:c>
      <x:c r="F6" s="117" t="n">
        <x:f>'24-Month Plan'!D23</x:f>
        <x:v>0.4528703046875001</x:v>
      </x:c>
      <x:c r="G6" s="120" t="n">
        <x:f>'24-Month Plan'!D17</x:f>
        <x:v>7147.164062500001</x:v>
      </x:c>
      <x:c r="H6" s="10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</x:row>
    <x:row r="7">
      <x:c r="A7" s="101" t="str">
        <x:v>Month 6</x:v>
      </x:c>
      <x:c r="B7" s="119" t="n">
        <x:f>'24-Month Plan'!G6</x:f>
        <x:v>61.54495819600002</x:v>
      </x:c>
      <x:c r="C7" s="119" t="n">
        <x:f>'24-Month Plan'!G10</x:f>
        <x:v>5.385183842150001</x:v>
      </x:c>
      <x:c r="D7" s="119" t="n">
        <x:f>'24-Month Plan'!G21</x:f>
        <x:v>46.91841422473188</x:v>
      </x:c>
      <x:c r="E7" s="119" t="n">
        <x:f>'24-Month Plan'!G22</x:f>
        <x:v>80</x:v>
      </x:c>
      <x:c r="F7" s="117" t="n">
        <x:f>'24-Month Plan'!G23</x:f>
        <x:v>0.5864801778091485</x:v>
      </x:c>
      <x:c r="G7" s="120" t="n">
        <x:f>'24-Month Plan'!G17</x:f>
        <x:v>9255.784728695315</x:v>
      </x:c>
      <x:c r="H7" s="101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</x:row>
    <x:row r="8">
      <x:c r="A8" s="101" t="str">
        <x:v>Month 12</x:v>
      </x:c>
      <x:c r="B8" s="119" t="n">
        <x:f>'24-Month Plan'!M6</x:f>
        <x:v>103.21705621221639</x:v>
      </x:c>
      <x:c r="C8" s="119" t="n">
        <x:f>'24-Month Plan'!M10</x:f>
        <x:v>10.982294780979824</x:v>
      </x:c>
      <x:c r="D8" s="119" t="n">
        <x:f>'24-Month Plan'!M21</x:f>
        <x:v>95.68324327928673</x:v>
      </x:c>
      <x:c r="E8" s="119" t="n">
        <x:f>'24-Month Plan'!M22</x:f>
        <x:v>140</x:v>
      </x:c>
      <x:c r="F8" s="117" t="n">
        <x:f>'24-Month Plan'!M23</x:f>
        <x:v>0.6834517377091909</x:v>
      </x:c>
      <x:c r="G8" s="120" t="n">
        <x:f>'24-Month Plan'!M17</x:f>
        <x:v>18875.819154809073</x:v>
      </x:c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</x:row>
    <x:row r="9">
      <x:c r="A9" s="101" t="str">
        <x:v>Month 18</x:v>
      </x:c>
      <x:c r="B9" s="119" t="n">
        <x:f>'24-Month Plan'!S6</x:f>
        <x:v>146.4153669478309</x:v>
      </x:c>
      <x:c r="C9" s="119" t="n">
        <x:f>'24-Month Plan'!S10</x:f>
        <x:v>17.56984403373971</x:v>
      </x:c>
      <x:c r="D9" s="119" t="n">
        <x:f>'24-Month Plan'!S21</x:f>
        <x:v>153.07726614395722</x:v>
      </x:c>
      <x:c r="E9" s="119" t="n">
        <x:f>'24-Month Plan'!S22</x:f>
        <x:v>260</x:v>
      </x:c>
      <x:c r="F9" s="117" t="n">
        <x:f>'24-Month Plan'!S23</x:f>
        <x:v>0.588758715938297</x:v>
      </x:c>
      <x:c r="G9" s="120" t="n">
        <x:f>'24-Month Plan'!S17</x:f>
        <x:v>33096.351251171945</x:v>
      </x:c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</x:row>
    <x:row r="10">
      <x:c r="A10" s="101" t="str">
        <x:v>Month 24</x:v>
      </x:c>
      <x:c r="B10" s="119" t="n">
        <x:f>'24-Month Plan'!Y6</x:f>
        <x:v>207.69299634347365</x:v>
      </x:c>
      <x:c r="C10" s="119" t="n">
        <x:f>'24-Month Plan'!Y10</x:f>
        <x:v>24.92315956121684</x:v>
      </x:c>
      <x:c r="D10" s="119" t="n">
        <x:f>'24-Month Plan'!Y21</x:f>
        <x:v>217.1430276771017</x:v>
      </x:c>
      <x:c r="E10" s="119" t="n">
        <x:f>'24-Month Plan'!Y22</x:f>
        <x:v>260</x:v>
      </x:c>
      <x:c r="F10" s="117" t="n">
        <x:f>'24-Month Plan'!Y23</x:f>
        <x:v>0.8351654910657759</x:v>
      </x:c>
      <x:c r="G10" s="120" t="n">
        <x:f>'24-Month Plan'!Y17</x:f>
        <x:v>49316.68049584144</x:v>
      </x:c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</x:row>
    <x:row r="11">
      <x:c r="A11" s="101"/>
      <x:c r="B11" s="101"/>
      <x:c r="C11" s="101"/>
      <x:c r="D11" s="101"/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</x:row>
    <x:row r="12">
      <x:c r="A12" s="101"/>
      <x:c r="B12" s="101"/>
      <x:c r="C12" s="101"/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</x:row>
    <x:row r="13" ht="21" customHeight="1">
      <x:c r="A13" s="20" t="str">
        <x:v>Pilot management targets</x:v>
      </x:c>
      <x:c r="B13" s="21"/>
      <x:c r="C13" s="21"/>
      <x:c r="D13" s="21"/>
      <x:c r="E13" s="21"/>
      <x:c r="F13" s="21"/>
      <x:c r="G13" s="21"/>
      <x:c r="H13" s="22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</x:row>
    <x:row r="14" ht="26" customHeight="1">
      <x:c r="A14" s="34" t="str">
        <x:v>Gate</x:v>
      </x:c>
      <x:c r="B14" s="35" t="str">
        <x:v>Target</x:v>
      </x:c>
      <x:c r="C14" s="35" t="str">
        <x:v>Model indicator</x:v>
      </x:c>
      <x:c r="D14" s="36" t="str">
        <x:v>Use</x:v>
      </x:c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</x:row>
    <x:row r="15">
      <x:c r="A15" s="101" t="str">
        <x:v>Paid cases by Month 3</x:v>
      </x:c>
      <x:c r="B15" s="126" t="n">
        <x:v>12</x:v>
      </x:c>
      <x:c r="C15" s="126" t="n">
        <x:f>SUM('24-Month Plan'!B10:D10)</x:f>
        <x:v>11.47335</x:v>
      </x:c>
      <x:c r="D15" s="101" t="str">
        <x:v>Validate willingness to pay and delivery effort</x:v>
      </x:c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</x:row>
    <x:row r="16">
      <x:c r="A16" s="101" t="str">
        <x:v>Partner hosts by Day 30</x:v>
      </x:c>
      <x:c r="B16" s="126" t="n">
        <x:v>3</x:v>
      </x:c>
      <x:c r="C16" s="113" t="n">
        <x:f>0</x:f>
        <x:v>0</x:v>
      </x:c>
      <x:c r="D16" s="101" t="str">
        <x:v>Validate trusted local distribution</x:v>
      </x:c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</x:row>
    <x:row r="17">
      <x:c r="A17" s="101" t="str">
        <x:v>Published episodes by Day 90</x:v>
      </x:c>
      <x:c r="B17" s="126" t="n">
        <x:v>8</x:v>
      </x:c>
      <x:c r="C17" s="113" t="n">
        <x:f>0</x:f>
        <x:v>0</x:v>
      </x:c>
      <x:c r="D17" s="101" t="str">
        <x:v>Validate cadence and qualified audience actions</x:v>
      </x:c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</x:row>
    <x:row r="18">
      <x:c r="A18" s="101" t="str">
        <x:v>Month 12 contribution margin</x:v>
      </x:c>
      <x:c r="B18" s="121" t="n">
        <x:v>0.5</x:v>
      </x:c>
      <x:c r="C18" s="121" t="n">
        <x:f>'24-Month Plan'!M32</x:f>
        <x:v>0.5575090909090908</x:v>
      </x:c>
      <x:c r="D18" s="101" t="str">
        <x:v>Fund operating expense and reinvestment</x:v>
      </x:c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</x:row>
    <x:row r="19">
      <x:c r="A19" s="101" t="str">
        <x:v>Month 24 delivery utilization ceiling</x:v>
      </x:c>
      <x:c r="B19" s="121" t="n">
        <x:v>0.85</x:v>
      </x:c>
      <x:c r="C19" s="121" t="n">
        <x:f>'24-Month Plan'!Y23</x:f>
        <x:v>0.8351654910657759</x:v>
      </x:c>
      <x:c r="D19" s="101" t="str">
        <x:v>Protect quality and capacity</x:v>
      </x:c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</x:row>
    <x:row r="20">
      <x:c r="A20" s="101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</x:row>
    <x:row r="21">
      <x:c r="A21" s="101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</x:row>
    <x:row r="22">
      <x:c r="A22" s="101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</x:row>
    <x:row r="23">
      <x:c r="A23" s="101"/>
      <x:c r="B23" s="101"/>
      <x:c r="C23" s="101"/>
      <x:c r="D23" s="101"/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</x:row>
    <x:row r="24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</x:row>
    <x:row r="25">
      <x:c r="A25" s="101"/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</x:row>
  </x:sheetData>
  <x:mergeCells>
    <x:mergeCell ref="A2:H2"/>
    <x:mergeCell ref="A3:H3"/>
    <x:mergeCell ref="A13:H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6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 ht="28" customHeight="1">
      <x:c r="A2" s="4" t="str">
        <x:v>Cash flow and funding need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0" customHeight="1">
      <x:c r="A3" s="6" t="str">
        <x:v>Initial financing is modeled as a planning placeholder. Financing structure, ownership, and terms are not assumed.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ht="26" customHeight="1">
      <x:c r="A4" s="34" t="str">
        <x:v>USD</x:v>
      </x:c>
      <x:c r="B4" s="35" t="str">
        <x:v>Prelaunch</x:v>
      </x:c>
      <x:c r="C4" s="58" t="d">
        <x:v>2026-11-01T00:00:00.000Z</x:v>
      </x:c>
      <x:c r="D4" s="58" t="d">
        <x:v>2026-12-01T00:00:00.000Z</x:v>
      </x:c>
      <x:c r="E4" s="58" t="d">
        <x:v>2027-01-01T00:00:00.000Z</x:v>
      </x:c>
      <x:c r="F4" s="58" t="d">
        <x:v>2027-02-01T00:00:00.000Z</x:v>
      </x:c>
      <x:c r="G4" s="58" t="d">
        <x:v>2027-03-01T00:00:00.000Z</x:v>
      </x:c>
      <x:c r="H4" s="58" t="d">
        <x:v>2027-04-01T00:00:00.000Z</x:v>
      </x:c>
      <x:c r="I4" s="58" t="d">
        <x:v>2027-05-01T00:00:00.000Z</x:v>
      </x:c>
      <x:c r="J4" s="58" t="d">
        <x:v>2027-06-01T00:00:00.000Z</x:v>
      </x:c>
      <x:c r="K4" s="58" t="d">
        <x:v>2027-07-01T00:00:00.000Z</x:v>
      </x:c>
      <x:c r="L4" s="58" t="d">
        <x:v>2027-08-01T00:00:00.000Z</x:v>
      </x:c>
      <x:c r="M4" s="58" t="d">
        <x:v>2027-09-01T00:00:00.000Z</x:v>
      </x:c>
      <x:c r="N4" s="58" t="d">
        <x:v>2027-10-01T00:00:00.000Z</x:v>
      </x:c>
      <x:c r="O4" s="58" t="d">
        <x:v>2027-11-01T00:00:00.000Z</x:v>
      </x:c>
      <x:c r="P4" s="58" t="d">
        <x:v>2027-12-01T00:00:00.000Z</x:v>
      </x:c>
      <x:c r="Q4" s="58" t="d">
        <x:v>2028-01-01T00:00:00.000Z</x:v>
      </x:c>
      <x:c r="R4" s="58" t="d">
        <x:v>2028-02-01T00:00:00.000Z</x:v>
      </x:c>
      <x:c r="S4" s="58" t="d">
        <x:v>2028-03-01T00:00:00.000Z</x:v>
      </x:c>
      <x:c r="T4" s="58" t="d">
        <x:v>2028-04-01T00:00:00.000Z</x:v>
      </x:c>
      <x:c r="U4" s="58" t="d">
        <x:v>2028-05-01T00:00:00.000Z</x:v>
      </x:c>
      <x:c r="V4" s="58" t="d">
        <x:v>2028-06-01T00:00:00.000Z</x:v>
      </x:c>
      <x:c r="W4" s="58" t="d">
        <x:v>2028-07-01T00:00:00.000Z</x:v>
      </x:c>
      <x:c r="X4" s="58" t="d">
        <x:v>2028-08-01T00:00:00.000Z</x:v>
      </x:c>
      <x:c r="Y4" s="58" t="d">
        <x:v>2028-09-01T00:00:00.000Z</x:v>
      </x:c>
      <x:c r="Z4" s="59" t="d">
        <x:v>2028-10-01T00:00:00.000Z</x:v>
      </x:c>
    </x:row>
    <x:row r="5">
      <x:c r="A5" s="101"/>
      <x:c r="B5" s="101"/>
      <x:c r="C5" s="101"/>
      <x:c r="D5" s="101"/>
      <x:c r="E5" s="101"/>
      <x:c r="F5" s="101"/>
      <x:c r="G5" s="101"/>
      <x:c r="H5" s="10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</x:row>
    <x:row r="6">
      <x:c r="A6" s="101" t="str">
        <x:v>Operating cash flow</x:v>
      </x:c>
      <x:c r="B6" s="103" t="n">
        <x:f>-'Assumptions'!$B$69</x:f>
        <x:v>-75000</x:v>
      </x:c>
      <x:c r="C6" s="120" t="n">
        <x:f>'24-Month Plan'!B44</x:f>
        <x:v>-7946.234375</x:v>
      </x:c>
      <x:c r="D6" s="120" t="n">
        <x:f>'24-Month Plan'!C44</x:f>
        <x:v>-7644.395468750001</x:v>
      </x:c>
      <x:c r="E6" s="120" t="n">
        <x:f>'24-Month Plan'!D44</x:f>
        <x:v>-7315.3910609375</x:v>
      </x:c>
      <x:c r="F6" s="120" t="n">
        <x:f>'24-Month Plan'!E44</x:f>
        <x:v>-11556.776256421876</x:v>
      </x:c>
      <x:c r="G6" s="120" t="n">
        <x:f>'24-Month Plan'!F44</x:f>
        <x:v>-11165.886119499843</x:v>
      </x:c>
      <x:c r="H6" s="120" t="n">
        <x:f>'24-Month Plan'!G44</x:f>
        <x:v>-10739.815870254828</x:v>
      </x:c>
      <x:c r="I6" s="120" t="n">
        <x:f>'24-Month Plan'!H44</x:f>
        <x:v>-9060.485547070559</x:v>
      </x:c>
      <x:c r="J6" s="120" t="n">
        <x:f>'24-Month Plan'!I44</x:f>
        <x:v>-8444.929246306909</x:v>
      </x:c>
      <x:c r="K6" s="120" t="n">
        <x:f>'24-Month Plan'!J44</x:f>
        <x:v>-7773.97287847453</x:v>
      </x:c>
      <x:c r="L6" s="120" t="n">
        <x:f>'24-Month Plan'!K44</x:f>
        <x:v>-7042.630437537238</x:v>
      </x:c>
      <x:c r="M6" s="120" t="n">
        <x:f>'24-Month Plan'!L44</x:f>
        <x:v>-6245.467176915587</x:v>
      </x:c>
      <x:c r="N6" s="120" t="n">
        <x:f>'24-Month Plan'!M44</x:f>
        <x:v>-5376.55922283799</x:v>
      </x:c>
      <x:c r="O6" s="120" t="n">
        <x:f>'24-Month Plan'!N44</x:f>
        <x:v>-6972.745236325112</x:v>
      </x:c>
      <x:c r="P6" s="120" t="n">
        <x:f>'24-Month Plan'!O44</x:f>
        <x:v>-6014.905950504617</x:v>
      </x:c>
      <x:c r="Q6" s="120" t="n">
        <x:f>'24-Month Plan'!P44</x:f>
        <x:v>-5011.776307534896</x:v>
      </x:c>
      <x:c r="R6" s="120" t="n">
        <x:f>'24-Month Plan'!Q44</x:f>
        <x:v>-3960.6388859869876</x:v>
      </x:c>
      <x:c r="S6" s="120" t="n">
        <x:f>'24-Month Plan'!R44</x:f>
        <x:v>-2858.6132191462057</x:v>
      </x:c>
      <x:c r="T6" s="120" t="n">
        <x:f>'24-Month Plan'!S44</x:f>
        <x:v>-882.6460122949793</x:v>
      </x:c>
      <x:c r="U6" s="120" t="n">
        <x:f>'24-Month Plan'!T44</x:f>
        <x:v>603.8325603006633</x:v>
      </x:c>
      <x:c r="V6" s="120" t="n">
        <x:f>'24-Month Plan'!U44</x:f>
        <x:v>2150.9198472520256</x:v>
      </x:c>
      <x:c r="W6" s="120" t="n">
        <x:f>'24-Month Plan'!V44</x:f>
        <x:v>3762.252371420491</x:v>
      </x:c>
      <x:c r="X6" s="120" t="n">
        <x:f>'24-Month Plan'!W44</x:f>
        <x:v>5441.6848470390505</x:v>
      </x:c>
      <x:c r="Y6" s="120" t="n">
        <x:f>'24-Month Plan'!X44</x:f>
        <x:v>7193.303271194731</x:v>
      </x:c>
      <x:c r="Z6" s="120" t="n">
        <x:f>'24-Month Plan'!Y44</x:f>
        <x:v>9021.438800799748</x:v>
      </x:c>
    </x:row>
    <x:row r="7">
      <x:c r="A7" s="101" t="str">
        <x:v>Cumulative cash before financing</x:v>
      </x:c>
      <x:c r="B7" s="103" t="n">
        <x:f>B6</x:f>
        <x:v>-75000</x:v>
      </x:c>
      <x:c r="C7" s="103" t="n">
        <x:f>B7+C6</x:f>
        <x:v>-82946.234375</x:v>
      </x:c>
      <x:c r="D7" s="103" t="n">
        <x:f>C7+D6</x:f>
        <x:v>-90590.62984375001</x:v>
      </x:c>
      <x:c r="E7" s="103" t="n">
        <x:f>D7+E6</x:f>
        <x:v>-97906.02090468751</x:v>
      </x:c>
      <x:c r="F7" s="103" t="n">
        <x:f>E7+F6</x:f>
        <x:v>-109462.79716110938</x:v>
      </x:c>
      <x:c r="G7" s="103" t="n">
        <x:f>F7+G6</x:f>
        <x:v>-120628.68328060923</x:v>
      </x:c>
      <x:c r="H7" s="103" t="n">
        <x:f>G7+H6</x:f>
        <x:v>-131368.49915086405</x:v>
      </x:c>
      <x:c r="I7" s="103" t="n">
        <x:f>H7+I6</x:f>
        <x:v>-140428.98469793462</x:v>
      </x:c>
      <x:c r="J7" s="103" t="n">
        <x:f>I7+J6</x:f>
        <x:v>-148873.91394424153</x:v>
      </x:c>
      <x:c r="K7" s="103" t="n">
        <x:f>J7+K6</x:f>
        <x:v>-156647.88682271607</x:v>
      </x:c>
      <x:c r="L7" s="103" t="n">
        <x:f>K7+L6</x:f>
        <x:v>-163690.5172602533</x:v>
      </x:c>
      <x:c r="M7" s="103" t="n">
        <x:f>L7+M6</x:f>
        <x:v>-169935.9844371689</x:v>
      </x:c>
      <x:c r="N7" s="103" t="n">
        <x:f>M7+N6</x:f>
        <x:v>-175312.5436600069</x:v>
      </x:c>
      <x:c r="O7" s="103" t="n">
        <x:f>N7+O6</x:f>
        <x:v>-182285.288896332</x:v>
      </x:c>
      <x:c r="P7" s="103" t="n">
        <x:f>O7+P6</x:f>
        <x:v>-188300.19484683662</x:v>
      </x:c>
      <x:c r="Q7" s="103" t="n">
        <x:f>P7+Q6</x:f>
        <x:v>-193311.9711543715</x:v>
      </x:c>
      <x:c r="R7" s="103" t="n">
        <x:f>Q7+R6</x:f>
        <x:v>-197272.6100403585</x:v>
      </x:c>
      <x:c r="S7" s="103" t="n">
        <x:f>R7+S6</x:f>
        <x:v>-200131.2232595047</x:v>
      </x:c>
      <x:c r="T7" s="103" t="n">
        <x:f>S7+T6</x:f>
        <x:v>-201013.8692717997</x:v>
      </x:c>
      <x:c r="U7" s="103" t="n">
        <x:f>T7+U6</x:f>
        <x:v>-200410.03671149904</x:v>
      </x:c>
      <x:c r="V7" s="103" t="n">
        <x:f>U7+V6</x:f>
        <x:v>-198259.11686424701</x:v>
      </x:c>
      <x:c r="W7" s="103" t="n">
        <x:f>V7+W6</x:f>
        <x:v>-194496.8644928265</x:v>
      </x:c>
      <x:c r="X7" s="103" t="n">
        <x:f>W7+X6</x:f>
        <x:v>-189055.17964578746</x:v>
      </x:c>
      <x:c r="Y7" s="103" t="n">
        <x:f>X7+Y6</x:f>
        <x:v>-181861.8763745927</x:v>
      </x:c>
      <x:c r="Z7" s="103" t="n">
        <x:f>Y7+Z6</x:f>
        <x:v>-172840.43757379297</x:v>
      </x:c>
    </x:row>
    <x:row r="8">
      <x:c r="A8" s="114" t="str">
        <x:v>Financing inflow</x:v>
      </x:c>
      <x:c r="B8" s="115" t="n">
        <x:f>-MIN(B7:Z7)+'Assumptions'!$B$8</x:f>
        <x:v>226013.8692717997</x:v>
      </x:c>
      <x:c r="C8" s="115" t="n">
        <x:v>0</x:v>
      </x:c>
      <x:c r="D8" s="115" t="n">
        <x:v>0</x:v>
      </x:c>
      <x:c r="E8" s="115" t="n">
        <x:v>0</x:v>
      </x:c>
      <x:c r="F8" s="115" t="n">
        <x:v>0</x:v>
      </x:c>
      <x:c r="G8" s="115" t="n">
        <x:v>0</x:v>
      </x:c>
      <x:c r="H8" s="115" t="n">
        <x:v>0</x:v>
      </x:c>
      <x:c r="I8" s="115" t="n">
        <x:v>0</x:v>
      </x:c>
      <x:c r="J8" s="115" t="n">
        <x:v>0</x:v>
      </x:c>
      <x:c r="K8" s="115" t="n">
        <x:v>0</x:v>
      </x:c>
      <x:c r="L8" s="115" t="n">
        <x:v>0</x:v>
      </x:c>
      <x:c r="M8" s="115" t="n">
        <x:v>0</x:v>
      </x:c>
      <x:c r="N8" s="115" t="n">
        <x:v>0</x:v>
      </x:c>
      <x:c r="O8" s="115" t="n">
        <x:v>0</x:v>
      </x:c>
      <x:c r="P8" s="115" t="n">
        <x:v>0</x:v>
      </x:c>
      <x:c r="Q8" s="115" t="n">
        <x:v>0</x:v>
      </x:c>
      <x:c r="R8" s="115" t="n">
        <x:v>0</x:v>
      </x:c>
      <x:c r="S8" s="115" t="n">
        <x:v>0</x:v>
      </x:c>
      <x:c r="T8" s="115" t="n">
        <x:v>0</x:v>
      </x:c>
      <x:c r="U8" s="115" t="n">
        <x:v>0</x:v>
      </x:c>
      <x:c r="V8" s="115" t="n">
        <x:v>0</x:v>
      </x:c>
      <x:c r="W8" s="115" t="n">
        <x:v>0</x:v>
      </x:c>
      <x:c r="X8" s="115" t="n">
        <x:v>0</x:v>
      </x:c>
      <x:c r="Y8" s="115" t="n">
        <x:v>0</x:v>
      </x:c>
      <x:c r="Z8" s="115" t="n">
        <x:v>0</x:v>
      </x:c>
    </x:row>
    <x:row r="9">
      <x:c r="A9" s="124" t="str">
        <x:v>Ending cash</x:v>
      </x:c>
      <x:c r="B9" s="125" t="n">
        <x:f>B6+B8</x:f>
        <x:v>151013.8692717997</x:v>
      </x:c>
      <x:c r="C9" s="125" t="n">
        <x:f>B9+C6+C8</x:f>
        <x:v>143067.6348967997</x:v>
      </x:c>
      <x:c r="D9" s="125" t="n">
        <x:f>C9+D6+D8</x:f>
        <x:v>135423.23942804968</x:v>
      </x:c>
      <x:c r="E9" s="125" t="n">
        <x:f>D9+E6+E8</x:f>
        <x:v>128107.84836711218</x:v>
      </x:c>
      <x:c r="F9" s="125" t="n">
        <x:f>E9+F6+F8</x:f>
        <x:v>116551.07211069031</x:v>
      </x:c>
      <x:c r="G9" s="125" t="n">
        <x:f>F9+G6+G8</x:f>
        <x:v>105385.18599119046</x:v>
      </x:c>
      <x:c r="H9" s="125" t="n">
        <x:f>G9+H6+H8</x:f>
        <x:v>94645.37012093564</x:v>
      </x:c>
      <x:c r="I9" s="125" t="n">
        <x:f>H9+I6+I8</x:f>
        <x:v>85584.88457386507</x:v>
      </x:c>
      <x:c r="J9" s="125" t="n">
        <x:f>I9+J6+J8</x:f>
        <x:v>77139.95532755816</x:v>
      </x:c>
      <x:c r="K9" s="125" t="n">
        <x:f>J9+K6+K8</x:f>
        <x:v>69365.98244908363</x:v>
      </x:c>
      <x:c r="L9" s="125" t="n">
        <x:f>K9+L6+L8</x:f>
        <x:v>62323.35201154639</x:v>
      </x:c>
      <x:c r="M9" s="125" t="n">
        <x:f>L9+M6+M8</x:f>
        <x:v>56077.88483463081</x:v>
      </x:c>
      <x:c r="N9" s="125" t="n">
        <x:f>M9+N6+N8</x:f>
        <x:v>50701.32561179282</x:v>
      </x:c>
      <x:c r="O9" s="125" t="n">
        <x:f>N9+O6+O8</x:f>
        <x:v>43728.5803754677</x:v>
      </x:c>
      <x:c r="P9" s="125" t="n">
        <x:f>O9+P6+P8</x:f>
        <x:v>37713.67442496309</x:v>
      </x:c>
      <x:c r="Q9" s="125" t="n">
        <x:f>P9+Q6+Q8</x:f>
        <x:v>32701.89811742819</x:v>
      </x:c>
      <x:c r="R9" s="125" t="n">
        <x:f>Q9+R6+R8</x:f>
        <x:v>28741.259231441203</x:v>
      </x:c>
      <x:c r="S9" s="125" t="n">
        <x:f>R9+S6+S8</x:f>
        <x:v>25882.646012294997</x:v>
      </x:c>
      <x:c r="T9" s="125" t="n">
        <x:f>S9+T6+T8</x:f>
        <x:v>25000.00000000002</x:v>
      </x:c>
      <x:c r="U9" s="125" t="n">
        <x:f>T9+U6+U8</x:f>
        <x:v>25603.83256030068</x:v>
      </x:c>
      <x:c r="V9" s="125" t="n">
        <x:f>U9+V6+V8</x:f>
        <x:v>27754.752407552707</x:v>
      </x:c>
      <x:c r="W9" s="125" t="n">
        <x:f>V9+W6+W8</x:f>
        <x:v>31517.004778973198</x:v>
      </x:c>
      <x:c r="X9" s="125" t="n">
        <x:f>W9+X6+X8</x:f>
        <x:v>36958.689626012245</x:v>
      </x:c>
      <x:c r="Y9" s="125" t="n">
        <x:f>X9+Y6+Y8</x:f>
        <x:v>44151.992897206976</x:v>
      </x:c>
      <x:c r="Z9" s="125" t="n">
        <x:f>Y9+Z6+Z8</x:f>
        <x:v>53173.43169800672</x:v>
      </x:c>
    </x:row>
    <x:row r="10">
      <x:c r="A10" s="101" t="str">
        <x:v>Minimum cash buffer</x:v>
      </x:c>
      <x:c r="B10" s="120" t="n">
        <x:f>'Assumptions'!$B$8</x:f>
        <x:v>25000</x:v>
      </x:c>
      <x:c r="C10" s="120" t="n">
        <x:f>'Assumptions'!$B$8</x:f>
        <x:v>25000</x:v>
      </x:c>
      <x:c r="D10" s="120" t="n">
        <x:f>'Assumptions'!$B$8</x:f>
        <x:v>25000</x:v>
      </x:c>
      <x:c r="E10" s="120" t="n">
        <x:f>'Assumptions'!$B$8</x:f>
        <x:v>25000</x:v>
      </x:c>
      <x:c r="F10" s="120" t="n">
        <x:f>'Assumptions'!$B$8</x:f>
        <x:v>25000</x:v>
      </x:c>
      <x:c r="G10" s="120" t="n">
        <x:f>'Assumptions'!$B$8</x:f>
        <x:v>25000</x:v>
      </x:c>
      <x:c r="H10" s="120" t="n">
        <x:f>'Assumptions'!$B$8</x:f>
        <x:v>25000</x:v>
      </x:c>
      <x:c r="I10" s="120" t="n">
        <x:f>'Assumptions'!$B$8</x:f>
        <x:v>25000</x:v>
      </x:c>
      <x:c r="J10" s="120" t="n">
        <x:f>'Assumptions'!$B$8</x:f>
        <x:v>25000</x:v>
      </x:c>
      <x:c r="K10" s="120" t="n">
        <x:f>'Assumptions'!$B$8</x:f>
        <x:v>25000</x:v>
      </x:c>
      <x:c r="L10" s="120" t="n">
        <x:f>'Assumptions'!$B$8</x:f>
        <x:v>25000</x:v>
      </x:c>
      <x:c r="M10" s="120" t="n">
        <x:f>'Assumptions'!$B$8</x:f>
        <x:v>25000</x:v>
      </x:c>
      <x:c r="N10" s="120" t="n">
        <x:f>'Assumptions'!$B$8</x:f>
        <x:v>25000</x:v>
      </x:c>
      <x:c r="O10" s="120" t="n">
        <x:f>'Assumptions'!$B$8</x:f>
        <x:v>25000</x:v>
      </x:c>
      <x:c r="P10" s="120" t="n">
        <x:f>'Assumptions'!$B$8</x:f>
        <x:v>25000</x:v>
      </x:c>
      <x:c r="Q10" s="120" t="n">
        <x:f>'Assumptions'!$B$8</x:f>
        <x:v>25000</x:v>
      </x:c>
      <x:c r="R10" s="120" t="n">
        <x:f>'Assumptions'!$B$8</x:f>
        <x:v>25000</x:v>
      </x:c>
      <x:c r="S10" s="120" t="n">
        <x:f>'Assumptions'!$B$8</x:f>
        <x:v>25000</x:v>
      </x:c>
      <x:c r="T10" s="120" t="n">
        <x:f>'Assumptions'!$B$8</x:f>
        <x:v>25000</x:v>
      </x:c>
      <x:c r="U10" s="120" t="n">
        <x:f>'Assumptions'!$B$8</x:f>
        <x:v>25000</x:v>
      </x:c>
      <x:c r="V10" s="120" t="n">
        <x:f>'Assumptions'!$B$8</x:f>
        <x:v>25000</x:v>
      </x:c>
      <x:c r="W10" s="120" t="n">
        <x:f>'Assumptions'!$B$8</x:f>
        <x:v>25000</x:v>
      </x:c>
      <x:c r="X10" s="120" t="n">
        <x:f>'Assumptions'!$B$8</x:f>
        <x:v>25000</x:v>
      </x:c>
      <x:c r="Y10" s="120" t="n">
        <x:f>'Assumptions'!$B$8</x:f>
        <x:v>25000</x:v>
      </x:c>
      <x:c r="Z10" s="120" t="n">
        <x:f>'Assumptions'!$B$8</x:f>
        <x:v>25000</x:v>
      </x:c>
    </x:row>
    <x:row r="11">
      <x:c r="A11" s="101"/>
      <x:c r="B11" s="101"/>
      <x:c r="C11" s="101"/>
      <x:c r="D11" s="101"/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</x:row>
    <x:row r="12">
      <x:c r="A12" s="101"/>
      <x:c r="B12" s="101"/>
      <x:c r="C12" s="101"/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</x:row>
    <x:row r="13">
      <x:c r="A13" s="101"/>
      <x:c r="B13" s="101"/>
      <x:c r="C13" s="101"/>
      <x:c r="D13" s="101"/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</x:row>
    <x:row r="14">
      <x:c r="A14" s="101"/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</x:row>
    <x:row r="15">
      <x:c r="A15" s="101"/>
      <x:c r="B15" s="101"/>
      <x:c r="C15" s="101"/>
      <x:c r="D15" s="101"/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</x:row>
    <x:row r="16">
      <x:c r="A16" s="101"/>
      <x:c r="B16" s="101"/>
      <x:c r="C16" s="101"/>
      <x:c r="D16" s="101"/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</x:row>
    <x:row r="17">
      <x:c r="A17" s="101"/>
      <x:c r="B17" s="101"/>
      <x:c r="C17" s="101"/>
      <x:c r="D17" s="101"/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</x:row>
    <x:row r="18">
      <x:c r="A18" s="101"/>
      <x:c r="B18" s="101"/>
      <x:c r="C18" s="101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</x:row>
    <x:row r="19">
      <x:c r="A19" s="101"/>
      <x:c r="B19" s="101"/>
      <x:c r="C19" s="101"/>
      <x:c r="D19" s="101"/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</x:row>
    <x:row r="20">
      <x:c r="A20" s="101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</x:row>
    <x:row r="21">
      <x:c r="A21" s="101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</x:row>
    <x:row r="22">
      <x:c r="A22" s="101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</x:row>
    <x:row r="23">
      <x:c r="A23" s="101"/>
      <x:c r="B23" s="101"/>
      <x:c r="C23" s="101"/>
      <x:c r="D23" s="101"/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</x:row>
    <x:row r="24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</x:row>
    <x:row r="25">
      <x:c r="A25" s="101"/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</x:row>
  </x:sheetData>
  <x:mergeCells>
    <x:mergeCell ref="A2:Z2"/>
    <x:mergeCell ref="A3:Z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9" hidden="0" customWidth="1"/>
    <x:col min="3" max="3" width="55" hidden="0" customWidth="1"/>
    <x:col min="4" max="4" width="17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 ht="28" customHeight="1">
      <x:c r="A2" s="4" t="str">
        <x:v>90-day launch budget</x:v>
      </x:c>
      <x:c r="B2" s="4"/>
      <x:c r="C2" s="4"/>
      <x:c r="D2" s="4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</x:row>
    <x:row r="3" ht="20" customHeight="1">
      <x:c r="A3" s="6" t="str">
        <x:v>Capital is released in tranches against evidence. The authorization is a ceiling, not a spending target.</x:v>
      </x:c>
      <x:c r="B3" s="6"/>
      <x:c r="C3" s="6"/>
      <x:c r="D3" s="6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</x:row>
    <x:row r="4">
      <x:c r="A4" s="101"/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</x:row>
    <x:row r="5" ht="21" customHeight="1">
      <x:c r="A5" s="20" t="str">
        <x:v>Uses and authorization</x:v>
      </x:c>
      <x:c r="B5" s="21"/>
      <x:c r="C5" s="21"/>
      <x:c r="D5" s="22"/>
      <x:c r="E5" s="101"/>
      <x:c r="F5" s="101"/>
      <x:c r="G5" s="101"/>
      <x:c r="H5" s="10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</x:row>
    <x:row r="6" ht="26" customHeight="1">
      <x:c r="A6" s="34" t="str">
        <x:v>Use</x:v>
      </x:c>
      <x:c r="B6" s="35" t="str">
        <x:v>Amount</x:v>
      </x:c>
      <x:c r="C6" s="36" t="str">
        <x:v>Control</x:v>
      </x:c>
      <x:c r="D6" s="101"/>
      <x:c r="E6" s="101"/>
      <x:c r="F6" s="101"/>
      <x:c r="G6" s="101"/>
      <x:c r="H6" s="10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</x:row>
    <x:row r="7">
      <x:c r="A7" s="127" t="str">
        <x:f>'Assumptions'!A61</x:f>
        <x:v>Entity, contracts, privacy, and IP setup</x:v>
      </x:c>
      <x:c r="B7" s="120" t="n">
        <x:f>'Assumptions'!B61</x:f>
        <x:v>15000</x:v>
      </x:c>
      <x:c r="C7" s="101" t="str">
        <x:v>Complete before customer intake</x:v>
      </x:c>
      <x:c r="D7" s="101"/>
      <x:c r="E7" s="101"/>
      <x:c r="F7" s="101"/>
      <x:c r="G7" s="101"/>
      <x:c r="H7" s="101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</x:row>
    <x:row r="8">
      <x:c r="A8" s="127" t="str">
        <x:f>'Assumptions'!A62</x:f>
        <x:v>Brand and public website</x:v>
      </x:c>
      <x:c r="B8" s="120" t="n">
        <x:f>'Assumptions'!B62</x:f>
        <x:v>8000</x:v>
      </x:c>
      <x:c r="C8" s="101" t="str">
        <x:v>Publish public brief and trust center</x:v>
      </x:c>
      <x:c r="D8" s="101"/>
      <x:c r="E8" s="101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</x:row>
    <x:row r="9">
      <x:c r="A9" s="127" t="str">
        <x:f>'Assumptions'!A63</x:f>
        <x:v>Insurance and deposits</x:v>
      </x:c>
      <x:c r="B9" s="120" t="n">
        <x:f>'Assumptions'!B63</x:f>
        <x:v>6000</x:v>
      </x:c>
      <x:c r="C9" s="101" t="str">
        <x:v>Bind coverage before events</x:v>
      </x:c>
      <x:c r="D9" s="101"/>
      <x:c r="E9" s="101"/>
      <x:c r="F9" s="101"/>
      <x:c r="G9" s="101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</x:row>
    <x:row r="10">
      <x:c r="A10" s="127" t="str">
        <x:f>'Assumptions'!A64</x:f>
        <x:v>Portable studio and recording equipment</x:v>
      </x:c>
      <x:c r="B10" s="120" t="n">
        <x:f>'Assumptions'!B64</x:f>
        <x:v>12000</x:v>
      </x:c>
      <x:c r="C10" s="101" t="str">
        <x:v>Portable only; no leasehold build-out</x:v>
      </x:c>
      <x:c r="D10" s="101"/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</x:row>
    <x:row r="11">
      <x:c r="A11" s="127" t="str">
        <x:f>'Assumptions'!A65</x:f>
        <x:v>Initial content season</x:v>
      </x:c>
      <x:c r="B11" s="120" t="n">
        <x:f>'Assumptions'!B65</x:f>
        <x:v>9000</x:v>
      </x:c>
      <x:c r="C11" s="101" t="str">
        <x:v>Eight-episode learning season</x:v>
      </x:c>
      <x:c r="D11" s="101"/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</x:row>
    <x:row r="12">
      <x:c r="A12" s="127" t="str">
        <x:f>'Assumptions'!A66</x:f>
        <x:v>Pilot events and partner support</x:v>
      </x:c>
      <x:c r="B12" s="120" t="n">
        <x:f>'Assumptions'!B66</x:f>
        <x:v>10000</x:v>
      </x:c>
      <x:c r="C12" s="101" t="str">
        <x:v>Three local hosts and clinics</x:v>
      </x:c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</x:row>
    <x:row r="13">
      <x:c r="A13" s="127" t="str">
        <x:f>'Assumptions'!A67</x:f>
        <x:v>Research, accessibility, and testing</x:v>
      </x:c>
      <x:c r="B13" s="120" t="n">
        <x:f>'Assumptions'!B67</x:f>
        <x:v>8000</x:v>
      </x:c>
      <x:c r="C13" s="101" t="str">
        <x:v>Name, accessibility, and user testing</x:v>
      </x:c>
      <x:c r="D13" s="101"/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</x:row>
    <x:row r="14">
      <x:c r="A14" s="127" t="str">
        <x:f>'Assumptions'!A68</x:f>
        <x:v>Contingency</x:v>
      </x:c>
      <x:c r="B14" s="120" t="n">
        <x:f>'Assumptions'!B68</x:f>
        <x:v>7000</x:v>
      </x:c>
      <x:c r="C14" s="101" t="str">
        <x:v>Founder approval required</x:v>
      </x:c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</x:row>
    <x:row r="15">
      <x:c r="A15" s="109" t="str">
        <x:v>Prelaunch uses</x:v>
      </x:c>
      <x:c r="B15" s="110" t="n">
        <x:f>SUM(B7:B14)</x:f>
        <x:v>75000</x:v>
      </x:c>
      <x:c r="C15" s="109" t="str"/>
      <x:c r="D15" s="101"/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</x:row>
    <x:row r="16">
      <x:c r="A16" s="122" t="str">
        <x:v>First 90-day operating loss</x:v>
      </x:c>
      <x:c r="B16" s="123" t="n">
        <x:f>-MIN(0,SUM('24-Month Plan'!B44:D44))</x:f>
        <x:v>22906.020904687502</x:v>
      </x:c>
      <x:c r="C16" s="122" t="str">
        <x:v>Months 1-3 EBITDA loss</x:v>
      </x:c>
      <x:c r="D16" s="101"/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</x:row>
    <x:row r="17">
      <x:c r="A17" s="122" t="str">
        <x:v>Minimum cash buffer</x:v>
      </x:c>
      <x:c r="B17" s="123" t="n">
        <x:f>'Assumptions'!$B$8</x:f>
        <x:v>25000</x:v>
      </x:c>
      <x:c r="C17" s="122" t="str">
        <x:v>Not operating spend</x:v>
      </x:c>
      <x:c r="D17" s="101"/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</x:row>
    <x:row r="18">
      <x:c r="A18" s="122" t="str">
        <x:v>Calculated pilot cash requirement</x:v>
      </x:c>
      <x:c r="B18" s="123" t="n">
        <x:f>SUM(B15:B17)</x:f>
        <x:v>122906.0209046875</x:v>
      </x:c>
      <x:c r="C18" s="122" t="str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</x:row>
    <x:row r="19">
      <x:c r="A19" s="114" t="str">
        <x:v>90-day authorization ceiling</x:v>
      </x:c>
      <x:c r="B19" s="115" t="n">
        <x:f>ROUNDUP(B18/5000,0)*5000</x:f>
        <x:v>125000</x:v>
      </x:c>
      <x:c r="C19" s="114" t="str">
        <x:v>Rounded to next $5,000</x:v>
      </x:c>
      <x:c r="D19" s="101"/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</x:row>
    <x:row r="20">
      <x:c r="A20" s="101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</x:row>
    <x:row r="21">
      <x:c r="A21" s="101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</x:row>
    <x:row r="22" ht="21" customHeight="1">
      <x:c r="A22" s="20" t="str">
        <x:v>Tranche release gates</x:v>
      </x:c>
      <x:c r="B22" s="21"/>
      <x:c r="C22" s="21"/>
      <x:c r="D22" s="22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</x:row>
    <x:row r="23" ht="26" customHeight="1">
      <x:c r="A23" s="34" t="str">
        <x:v>Tranche</x:v>
      </x:c>
      <x:c r="B23" s="35" t="str">
        <x:v>Maximum</x:v>
      </x:c>
      <x:c r="C23" s="35" t="str">
        <x:v>Evidence required</x:v>
      </x:c>
      <x:c r="D23" s="36" t="str">
        <x:v>Stop condition</x:v>
      </x:c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</x:row>
    <x:row r="24">
      <x:c r="A24" s="101" t="str">
        <x:v>1. Trust and setup</x:v>
      </x:c>
      <x:c r="B24" s="106" t="n">
        <x:v>35000</x:v>
      </x:c>
      <x:c r="C24" s="101" t="str">
        <x:v>Entity, contracts, privacy, AI-use, insurance, source register</x:v>
      </x:c>
      <x:c r="D24" s="101" t="str">
        <x:v>Controls not approved</x:v>
      </x:c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</x:row>
    <x:row r="25">
      <x:c r="A25" s="101" t="str">
        <x:v>2. Paid pilot</x:v>
      </x:c>
      <x:c r="B25" s="106" t="n">
        <x:v>65000</x:v>
      </x:c>
      <x:c r="C25" s="101" t="str">
        <x:v>Three hosts, offer scripts, booking path, separate media consent</x:v>
      </x:c>
      <x:c r="D25" s="101" t="str">
        <x:v>No credible recruitment path</x:v>
      </x:c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</x:row>
    <x:row r="26">
      <x:c r="A26" s="101" t="str">
        <x:v>3. Completion buffer</x:v>
      </x:c>
      <x:c r="B26" s="106" t="n">
        <x:v>25000</x:v>
      </x:c>
      <x:c r="C26" s="101" t="str">
        <x:v>Six paid cases and documented delivery economics</x:v>
      </x:c>
      <x:c r="D26" s="101" t="str">
        <x:v>Poor outcomes or unacceptable contribution</x:v>
      </x:c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</x:row>
  </x:sheetData>
  <x:mergeCells>
    <x:mergeCell ref="A2:D2"/>
    <x:mergeCell ref="A3:D3"/>
    <x:mergeCell ref="A5:D5"/>
    <x:mergeCell ref="A22:D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3" hidden="0" customWidth="1"/>
    <x:col min="7" max="7" width="45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 ht="28" customHeight="1">
      <x:c r="A2" s="4" t="str">
        <x:v>Model checks</x:v>
      </x:c>
      <x:c r="B2" s="4"/>
      <x:c r="C2" s="4"/>
      <x:c r="D2" s="4"/>
      <x:c r="E2" s="4"/>
      <x:c r="F2" s="4"/>
      <x:c r="G2" s="4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</x:row>
    <x:row r="3" ht="20" customHeight="1">
      <x:c r="A3" s="6" t="str">
        <x:v>Checks confirm formula consistency. They do not validate customer demand or management assumptions.</x:v>
      </x:c>
      <x:c r="B3" s="6"/>
      <x:c r="C3" s="6"/>
      <x:c r="D3" s="6"/>
      <x:c r="E3" s="6"/>
      <x:c r="F3" s="6"/>
      <x:c r="G3" s="6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</x:row>
    <x:row r="4">
      <x:c r="A4" s="101"/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</x:row>
    <x:row r="5" ht="26" customHeight="1">
      <x:c r="A5" s="34" t="str">
        <x:v>Check</x:v>
      </x:c>
      <x:c r="B5" s="35" t="str">
        <x:v>Actual</x:v>
      </x:c>
      <x:c r="C5" s="35" t="str">
        <x:v>Expected</x:v>
      </x:c>
      <x:c r="D5" s="35" t="str">
        <x:v>Difference</x:v>
      </x:c>
      <x:c r="E5" s="35" t="str">
        <x:v>Tolerance</x:v>
      </x:c>
      <x:c r="F5" s="35" t="str">
        <x:v>Status</x:v>
      </x:c>
      <x:c r="G5" s="36" t="str">
        <x:v>Where to review</x:v>
      </x:c>
      <x:c r="H5" s="10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</x:row>
    <x:row r="6">
      <x:c r="A6" s="101" t="str">
        <x:v>Offer mix sums to 100%</x:v>
      </x:c>
      <x:c r="B6" s="121" t="n">
        <x:f>'Assumptions'!F18</x:f>
        <x:v>1</x:v>
      </x:c>
      <x:c r="C6" s="121" t="n">
        <x:v>1</x:v>
      </x:c>
      <x:c r="D6" s="121" t="n">
        <x:f>B6-C6</x:f>
        <x:v>0</x:v>
      </x:c>
      <x:c r="E6" s="121" t="n">
        <x:v>0.0001</x:v>
      </x:c>
      <x:c r="F6" s="101" t="str">
        <x:f>IF(ABS(D6)&lt;=E6,"OK","FAIL")</x:f>
        <x:v>OK</x:v>
      </x:c>
      <x:c r="G6" s="101" t="str">
        <x:v>Assumptions F14:F18</x:v>
      </x:c>
      <x:c r="H6" s="10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</x:row>
    <x:row r="7">
      <x:c r="A7" s="101" t="str">
        <x:v>Revenue components tie</x:v>
      </x:c>
      <x:c r="B7" s="103" t="n">
        <x:f>SUM('24-Month Plan'!B17:Y17)</x:f>
        <x:v>556597.9393223557</x:v>
      </x:c>
      <x:c r="C7" s="103" t="n">
        <x:f>SUM('24-Month Plan'!B12:Y12)+SUM('24-Month Plan'!B15:Y15)+SUM('24-Month Plan'!B16:Y16)</x:f>
        <x:v>556597.9393223557</x:v>
      </x:c>
      <x:c r="D7" s="103" t="n">
        <x:f>B7-C7</x:f>
        <x:v>0</x:v>
      </x:c>
      <x:c r="E7" s="103" t="n">
        <x:v>1</x:v>
      </x:c>
      <x:c r="F7" s="101" t="str">
        <x:f>IF(ABS(D7)&lt;=E7,"OK","FAIL")</x:f>
        <x:v>OK</x:v>
      </x:c>
      <x:c r="G7" s="101" t="str">
        <x:v>24-Month Plan revenue</x:v>
      </x:c>
      <x:c r="H7" s="101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</x:row>
    <x:row r="8">
      <x:c r="A8" s="101" t="str">
        <x:v>Contribution profit ties</x:v>
      </x:c>
      <x:c r="B8" s="103" t="n">
        <x:f>SUM('24-Month Plan'!B31:Y31)</x:f>
        <x:v>319159.562426207</x:v>
      </x:c>
      <x:c r="C8" s="103" t="n">
        <x:f>SUM('24-Month Plan'!B17:Y17)-SUM('24-Month Plan'!B30:Y30)</x:f>
        <x:v>319159.5624262071</x:v>
      </x:c>
      <x:c r="D8" s="103" t="n">
        <x:f>B8-C8</x:f>
        <x:v>-1.1641532182693481e-10</x:v>
      </x:c>
      <x:c r="E8" s="103" t="n">
        <x:v>1</x:v>
      </x:c>
      <x:c r="F8" s="101" t="str">
        <x:f>IF(ABS(D8)&lt;=E8,"OK","FAIL")</x:f>
        <x:v>OK</x:v>
      </x:c>
      <x:c r="G8" s="101" t="str">
        <x:v>24-Month Plan contribution</x:v>
      </x:c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</x:row>
    <x:row r="9">
      <x:c r="A9" s="101" t="str">
        <x:v>Minimum ending cash meets buffer</x:v>
      </x:c>
      <x:c r="B9" s="103" t="n">
        <x:f>MIN('Cash Flow'!B9:Z9)</x:f>
        <x:v>25000.00000000002</x:v>
      </x:c>
      <x:c r="C9" s="103" t="n">
        <x:f>'Assumptions'!B8</x:f>
        <x:v>25000</x:v>
      </x:c>
      <x:c r="D9" s="103" t="n">
        <x:f>B9-C9</x:f>
        <x:v>1.8189894035458565e-11</x:v>
      </x:c>
      <x:c r="E9" s="103" t="n">
        <x:v>1</x:v>
      </x:c>
      <x:c r="F9" s="101" t="str">
        <x:f>IF(ABS(D9)&lt;=E9,"OK","FAIL")</x:f>
        <x:v>OK</x:v>
      </x:c>
      <x:c r="G9" s="101" t="str">
        <x:v>Cash Flow and Assumptions</x:v>
      </x:c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</x:row>
    <x:row r="10">
      <x:c r="A10" s="101" t="str">
        <x:v>Maximum delivery utilization does not exceed 85%</x:v>
      </x:c>
      <x:c r="B10" s="121" t="n">
        <x:f>MAX('24-Month Plan'!B23:Y23)</x:f>
        <x:v>0.8351654910657759</x:v>
      </x:c>
      <x:c r="C10" s="121" t="n">
        <x:v>0.85</x:v>
      </x:c>
      <x:c r="D10" s="121" t="n">
        <x:f>MAX(0,B10-C10)</x:f>
        <x:v>0</x:v>
      </x:c>
      <x:c r="E10" s="121" t="n">
        <x:v>0</x:v>
      </x:c>
      <x:c r="F10" s="101" t="str">
        <x:f>IF(ABS(D10)&lt;=E10,"OK","FAIL")</x:f>
        <x:v>OK</x:v>
      </x:c>
      <x:c r="G10" s="101" t="str">
        <x:v>24-Month Plan delivery</x:v>
      </x:c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</x:row>
    <x:row r="11">
      <x:c r="A11" s="101" t="str">
        <x:v>Cash roll-forward ties</x:v>
      </x:c>
      <x:c r="B11" s="103" t="n">
        <x:f>'Cash Flow'!Z9-('Cash Flow'!B9+SUM('Cash Flow'!C6:Z6))</x:f>
        <x:v>-1.4551915228366852e-11</x:v>
      </x:c>
      <x:c r="C11" s="103" t="n">
        <x:v>0</x:v>
      </x:c>
      <x:c r="D11" s="103" t="n">
        <x:f>B11-C11</x:f>
        <x:v>-1.4551915228366852e-11</x:v>
      </x:c>
      <x:c r="E11" s="103" t="n">
        <x:v>1</x:v>
      </x:c>
      <x:c r="F11" s="101" t="str">
        <x:f>IF(ABS(D11)&lt;=E11,"OK","FAIL")</x:f>
        <x:v>OK</x:v>
      </x:c>
      <x:c r="G11" s="101" t="str">
        <x:v>Cash Flow roll-forward</x:v>
      </x:c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</x:row>
    <x:row r="12">
      <x:c r="A12" s="101"/>
      <x:c r="B12" s="101"/>
      <x:c r="C12" s="101"/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</x:row>
    <x:row r="13">
      <x:c r="A13" s="114" t="str">
        <x:v>MODEL STATUS</x:v>
      </x:c>
      <x:c r="B13" s="114" t="str">
        <x:f>IF(COUNTIF(F6:F11,"FAIL")=0,"PASS","FAIL")</x:f>
        <x:v>PASS</x:v>
      </x:c>
      <x:c r="C13" s="101"/>
      <x:c r="D13" s="101"/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</x:row>
    <x:row r="14">
      <x:c r="A14" s="101"/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</x:row>
    <x:row r="15">
      <x:c r="A15" s="101"/>
      <x:c r="B15" s="101"/>
      <x:c r="C15" s="101"/>
      <x:c r="D15" s="101"/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</x:row>
    <x:row r="16">
      <x:c r="A16" s="101"/>
      <x:c r="B16" s="101"/>
      <x:c r="C16" s="101"/>
      <x:c r="D16" s="101"/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</x:row>
    <x:row r="17">
      <x:c r="A17" s="101"/>
      <x:c r="B17" s="101"/>
      <x:c r="C17" s="101"/>
      <x:c r="D17" s="101"/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</x:row>
    <x:row r="18">
      <x:c r="A18" s="101"/>
      <x:c r="B18" s="101"/>
      <x:c r="C18" s="101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</x:row>
    <x:row r="19">
      <x:c r="A19" s="101"/>
      <x:c r="B19" s="101"/>
      <x:c r="C19" s="101"/>
      <x:c r="D19" s="101"/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</x:row>
    <x:row r="20">
      <x:c r="A20" s="101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</x:row>
    <x:row r="21">
      <x:c r="A21" s="101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</x:row>
    <x:row r="22">
      <x:c r="A22" s="101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</x:row>
    <x:row r="23">
      <x:c r="A23" s="101"/>
      <x:c r="B23" s="101"/>
      <x:c r="C23" s="101"/>
      <x:c r="D23" s="101"/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</x:row>
    <x:row r="24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</x:row>
    <x:row r="25">
      <x:c r="A25" s="101"/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</x:row>
  </x:sheetData>
  <x:mergeCells>
    <x:mergeCell ref="A2:G2"/>
    <x:mergeCell ref="A3:G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75" hidden="0" customWidth="1"/>
    <x:col min="4" max="4" width="16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 ht="28" customHeight="1">
      <x:c r="A2" s="4" t="str">
        <x:v>Sources and assumption register</x:v>
      </x:c>
      <x:c r="B2" s="4"/>
      <x:c r="C2" s="4"/>
      <x:c r="D2" s="4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</x:row>
    <x:row r="3" ht="20" customHeight="1">
      <x:c r="A3" s="6" t="str">
        <x:v>External figures provide context. Commercial inputs remain management hypotheses until replaced by pilot evidence.</x:v>
      </x:c>
      <x:c r="B3" s="6"/>
      <x:c r="C3" s="6"/>
      <x:c r="D3" s="6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</x:row>
    <x:row r="4">
      <x:c r="A4" s="101"/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</x:row>
    <x:row r="5" ht="26" customHeight="1">
      <x:c r="A5" s="34" t="str">
        <x:v>Source</x:v>
      </x:c>
      <x:c r="B5" s="35" t="str">
        <x:v>Use</x:v>
      </x:c>
      <x:c r="C5" s="35" t="str">
        <x:v>URL</x:v>
      </x:c>
      <x:c r="D5" s="36" t="str">
        <x:v>As of</x:v>
      </x:c>
      <x:c r="E5" s="101"/>
      <x:c r="F5" s="101"/>
      <x:c r="G5" s="101"/>
      <x:c r="H5" s="10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</x:row>
    <x:row r="6">
      <x:c r="A6" s="101" t="str">
        <x:v>US SBA Office of Advocacy</x:v>
      </x:c>
      <x:c r="B6" s="101" t="str">
        <x:v>Small-business base</x:v>
      </x:c>
      <x:c r="C6" s="101" t="str">
        <x:v>https://advocacy.sba.gov/wp-content/uploads/2026/02/FINAL_FAQsAboutSmallBusiness_2026_012826.pdf</x:v>
      </x:c>
      <x:c r="D6" s="101" t="str">
        <x:v>Feb 2026</x:v>
      </x:c>
      <x:c r="E6" s="101"/>
      <x:c r="F6" s="101"/>
      <x:c r="G6" s="101"/>
      <x:c r="H6" s="10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</x:row>
    <x:row r="7">
      <x:c r="A7" s="101" t="str">
        <x:v>US Census Bureau</x:v>
      </x:c>
      <x:c r="B7" s="101" t="str">
        <x:v>Business formation activity</x:v>
      </x:c>
      <x:c r="C7" s="101" t="str">
        <x:v>https://www.census.gov/econ/bfs/current/index.html</x:v>
      </x:c>
      <x:c r="D7" s="101" t="str">
        <x:v>Aug 2026</x:v>
      </x:c>
      <x:c r="E7" s="101"/>
      <x:c r="F7" s="101"/>
      <x:c r="G7" s="101"/>
      <x:c r="H7" s="101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</x:row>
    <x:row r="8">
      <x:c r="A8" s="101" t="str">
        <x:v>US Bureau of Labor Statistics</x:v>
      </x:c>
      <x:c r="B8" s="101" t="str">
        <x:v>Management analyst compensation</x:v>
      </x:c>
      <x:c r="C8" s="101" t="str">
        <x:v>https://www.bls.gov/ooh/business-and-financial/management-analysts.htm</x:v>
      </x:c>
      <x:c r="D8" s="101" t="str">
        <x:v>May 2025</x:v>
      </x:c>
      <x:c r="E8" s="101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</x:row>
    <x:row r="9">
      <x:c r="A9" s="101" t="str">
        <x:v>US SEC</x:v>
      </x:c>
      <x:c r="B9" s="101" t="str">
        <x:v>Regulation Crowdfunding context only</x:v>
      </x:c>
      <x:c r="C9" s="101" t="str">
        <x:v>https://www.sec.gov/data-research/statistics-data-visualizations/regulation-crowdfunding-cf-offerings</x:v>
      </x:c>
      <x:c r="D9" s="101" t="str">
        <x:v>Jun 2026</x:v>
      </x:c>
      <x:c r="E9" s="101"/>
      <x:c r="F9" s="101"/>
      <x:c r="G9" s="101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</x:row>
    <x:row r="10">
      <x:c r="A10" s="101" t="str">
        <x:v>NIST</x:v>
      </x:c>
      <x:c r="B10" s="101" t="str">
        <x:v>AI risk-management reference</x:v>
      </x:c>
      <x:c r="C10" s="101" t="str">
        <x:v>https://www.nist.gov/itl/ai-risk-management-framework</x:v>
      </x:c>
      <x:c r="D10" s="101" t="str">
        <x:v>Accessed Oct 2026</x:v>
      </x:c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</x:row>
    <x:row r="11">
      <x:c r="A11" s="101" t="str">
        <x:v>US Copyright Office</x:v>
      </x:c>
      <x:c r="B11" s="101" t="str">
        <x:v>AI-assisted copyright reference</x:v>
      </x:c>
      <x:c r="C11" s="101" t="str">
        <x:v>https://www.copyright.gov/ai/Copyright-and-Artificial-Intelligence-Part-2-Copyrightability-Report.pdf</x:v>
      </x:c>
      <x:c r="D11" s="101" t="str">
        <x:v>Jan 2025</x:v>
      </x:c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</x:row>
    <x:row r="12">
      <x:c r="A12" s="101" t="str">
        <x:v>USPTO</x:v>
      </x:c>
      <x:c r="B12" s="101" t="str">
        <x:v>AI-assisted inventorship reference</x:v>
      </x:c>
      <x:c r="C12" s="101" t="str">
        <x:v>https://www.uspto.gov/subscription-center/2025/revised-inventorship-guidance-ai-assisted-inventions</x:v>
      </x:c>
      <x:c r="D12" s="101" t="str">
        <x:v>Nov 2025</x:v>
      </x:c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</x:row>
    <x:row r="13">
      <x:c r="A13" s="101" t="str">
        <x:v>Edison Research</x:v>
      </x:c>
      <x:c r="B13" s="101" t="str">
        <x:v>Podcast consumption and dual-format behavior</x:v>
      </x:c>
      <x:c r="C13" s="101" t="str">
        <x:v>https://www.edisonresearch.com/the-infinite-dial-2026/</x:v>
      </x:c>
      <x:c r="D13" s="101" t="str">
        <x:v>Mar 2026</x:v>
      </x:c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</x:row>
    <x:row r="14">
      <x:c r="A14" s="101" t="str">
        <x:v>OpenAI Docs</x:v>
      </x:c>
      <x:c r="B14" s="101" t="str">
        <x:v>Current model-selection guidance</x:v>
      </x:c>
      <x:c r="C14" s="101" t="str">
        <x:v>https://developers.openai.com/api/docs/models</x:v>
      </x:c>
      <x:c r="D14" s="101" t="str">
        <x:v>Accessed Oct 2026</x:v>
      </x:c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</x:row>
    <x:row r="15">
      <x:c r="A15" s="101"/>
      <x:c r="B15" s="101"/>
      <x:c r="C15" s="101"/>
      <x:c r="D15" s="101"/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</x:row>
    <x:row r="16">
      <x:c r="A16" s="101"/>
      <x:c r="B16" s="101"/>
      <x:c r="C16" s="101"/>
      <x:c r="D16" s="101"/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</x:row>
    <x:row r="17" ht="26" customHeight="1">
      <x:c r="A17" s="34" t="str">
        <x:v>Management assumption</x:v>
      </x:c>
      <x:c r="B17" s="35" t="str">
        <x:v>Status</x:v>
      </x:c>
      <x:c r="C17" s="35" t="str">
        <x:v>Evidence required</x:v>
      </x:c>
      <x:c r="D17" s="36" t="str">
        <x:v>Owner</x:v>
      </x:c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</x:row>
    <x:row r="18">
      <x:c r="A18" s="101" t="str">
        <x:v>Offer prices and mix</x:v>
      </x:c>
      <x:c r="B18" s="101" t="str">
        <x:v>Unproven</x:v>
      </x:c>
      <x:c r="C18" s="101" t="str">
        <x:v>Paid transactions and customer interviews</x:v>
      </x:c>
      <x:c r="D18" s="101" t="str">
        <x:v>Commercial lead</x:v>
      </x:c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</x:row>
    <x:row r="19">
      <x:c r="A19" s="101" t="str">
        <x:v>Lead growth and funnel conversion</x:v>
      </x:c>
      <x:c r="B19" s="101" t="str">
        <x:v>Unproven</x:v>
      </x:c>
      <x:c r="C19" s="101" t="str">
        <x:v>Channel-attributed funnel data</x:v>
      </x:c>
      <x:c r="D19" s="101" t="str">
        <x:v>Growth lead</x:v>
      </x:c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</x:row>
    <x:row r="20">
      <x:c r="A20" s="101" t="str">
        <x:v>Delivery hours and labor cost</x:v>
      </x:c>
      <x:c r="B20" s="101" t="str">
        <x:v>Unproven</x:v>
      </x:c>
      <x:c r="C20" s="101" t="str">
        <x:v>Time logs and contractor quotes</x:v>
      </x:c>
      <x:c r="D20" s="101" t="str">
        <x:v>Operations lead</x:v>
      </x:c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</x:row>
    <x:row r="21">
      <x:c r="A21" s="101" t="str">
        <x:v>Membership demand</x:v>
      </x:c>
      <x:c r="B21" s="101" t="str">
        <x:v>Gated</x:v>
      </x:c>
      <x:c r="C21" s="101" t="str">
        <x:v>Paid cohort and continuation requests</x:v>
      </x:c>
      <x:c r="D21" s="101" t="str">
        <x:v>Community lead</x:v>
      </x:c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</x:row>
    <x:row r="22">
      <x:c r="A22" s="101" t="str">
        <x:v>Media sponsorship</x:v>
      </x:c>
      <x:c r="B22" s="101" t="str">
        <x:v>Gated</x:v>
      </x:c>
      <x:c r="C22" s="101" t="str">
        <x:v>Audience quality and sponsor conversations</x:v>
      </x:c>
      <x:c r="D22" s="101" t="str">
        <x:v>Editorial lead</x:v>
      </x:c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</x:row>
    <x:row r="23">
      <x:c r="A23" s="101" t="str">
        <x:v>Operating expense levels</x:v>
      </x:c>
      <x:c r="B23" s="101" t="str">
        <x:v>Estimate</x:v>
      </x:c>
      <x:c r="C23" s="101" t="str">
        <x:v>Vendor quotes and actual invoices</x:v>
      </x:c>
      <x:c r="D23" s="101" t="str">
        <x:v>Finance lead</x:v>
      </x:c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</x:row>
    <x:row r="24">
      <x:c r="A24" s="101" t="str">
        <x:v>Prelaunch uses</x:v>
      </x:c>
      <x:c r="B24" s="101" t="str">
        <x:v>Estimate</x:v>
      </x:c>
      <x:c r="C24" s="101" t="str">
        <x:v>Professional quotes and approved scope</x:v>
      </x:c>
      <x:c r="D24" s="101" t="str">
        <x:v>Founder</x:v>
      </x:c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</x:row>
    <x:row r="25">
      <x:c r="A25" s="101" t="str">
        <x:v>Brand name</x:v>
      </x:c>
      <x:c r="B25" s="101" t="str">
        <x:v>Unvalidated</x:v>
      </x:c>
      <x:c r="C25" s="101" t="str">
        <x:v>Moderated audience tests and trademark review</x:v>
      </x:c>
      <x:c r="D25" s="101" t="str">
        <x:v>Founder</x:v>
      </x:c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</x:row>
    <x:row r="26">
      <x:c r="A26" s="101" t="str">
        <x:v>No regulated revenue</x:v>
      </x:c>
      <x:c r="B26" s="101" t="str">
        <x:v>Policy</x:v>
      </x:c>
      <x:c r="C26" s="101" t="str">
        <x:v>Counsel-approved change only</x:v>
      </x:c>
      <x:c r="D26" s="101" t="str">
        <x:v>Founder / counsel</x:v>
      </x:c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</x:row>
  </x:sheetData>
  <x:mergeCells>
    <x:mergeCell ref="A2:D2"/>
    <x:mergeCell ref="A3:D3"/>
  </x:mergeCells>
  <x:pageMargins left="0.7" right="0.7" top="0.75" bottom="0.75" header="0.3" footer="0.3"/>
</x:worksheet>
</file>
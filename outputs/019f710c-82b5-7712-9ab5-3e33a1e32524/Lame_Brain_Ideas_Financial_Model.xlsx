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ba0fa15e016424f" /></Relationships>
</file>

<file path=xl/workbook.xml><?xml version="1.0" encoding="utf-8"?>
<x:workbook xmlns:x="http://schemas.openxmlformats.org/spreadsheetml/2006/main">
  <x:sheets>
    <x:sheet xmlns:r="http://schemas.openxmlformats.org/officeDocument/2006/relationships" name="Cover" sheetId="1" r:id="Rc727eac14aeb47b0"/>
    <x:sheet xmlns:r="http://schemas.openxmlformats.org/officeDocument/2006/relationships" name="Assumptions" sheetId="2" r:id="R3f4d8b4c9ad94706"/>
    <x:sheet xmlns:r="http://schemas.openxmlformats.org/officeDocument/2006/relationships" name="Unit Economics" sheetId="3" r:id="R27ddc946e3464d39"/>
    <x:sheet xmlns:r="http://schemas.openxmlformats.org/officeDocument/2006/relationships" name="P&amp;L 5-Year" sheetId="4" r:id="R73f44c59562e4e15"/>
    <x:sheet xmlns:r="http://schemas.openxmlformats.org/officeDocument/2006/relationships" name="Cash Flow" sheetId="5" r:id="Rfb24c5c0858e4c72"/>
    <x:sheet xmlns:r="http://schemas.openxmlformats.org/officeDocument/2006/relationships" name="Scenarios" sheetId="6" r:id="Raf63c29961a848ff"/>
    <x:sheet xmlns:r="http://schemas.openxmlformats.org/officeDocument/2006/relationships" name="10-Store Rollout" sheetId="7" r:id="Rc543302b029241f5"/>
    <x:sheet xmlns:r="http://schemas.openxmlformats.org/officeDocument/2006/relationships" name="Checks" sheetId="8" r:id="R8b1dde0f9da44e28"/>
    <x:sheet xmlns:r="http://schemas.openxmlformats.org/officeDocument/2006/relationships" name="Sources" sheetId="9" r:id="R190a427c75fd419b"/>
  </x:sheets>
</x:workbook>
</file>

<file path=xl/comments1.xml><?xml version="1.0" encoding="utf-8"?>
<x:comments xmlns:x="http://schemas.openxmlformats.org/spreadsheetml/2006/main">
  <x:authors>
    <x:author>tc={22CF42DD-C2C1-A0C4-6013-363AEF828DBB}</x:author>
    <x:author>tc={9472095A-BC28-8D97-7A74-1D50C093AC92}</x:author>
    <x:author>tc={D9628AAF-3BC6-2DFA-7286-6C10D23CED95}</x:author>
    <x:author>tc={E5A1A637-5ACC-B391-2783-C673AA362952}</x:author>
    <x:author>tc={8DD7CDE0-F0F0-4834-FFC7-7DAB1DB399EC}</x:author>
    <x:author>tc={21262830-BA07-2E47-2472-1CD7D6D64386}</x:author>
    <x:author>tc={1ED0D2AD-0B8A-F769-D8AF-A9477DC2E140}</x:author>
  </x:authors>
  <x:commentList>
    <x:comment ref="B34" authorId="0">
      <x:text>
        <x:r>
          <x:t>[Threaded comment]
Your version of Excel allows you to read this threaded comment; however, any edits to it will get removed if the file is opened in a newer version of Excel. Learn more: https://go.microsoft.com/fwlink/?linkid=870924
Comment:
    Source context: BLS management analyst median pay was $101,190 in May 2024. This GM salary is a management assumption above that benchmark.</x:t>
        </x:r>
      </x:text>
    </x:comment>
    <x:comment ref="B36" authorId="1">
      <x:text>
        <x:r>
          <x:t>[Threaded comment]
Your version of Excel allows you to read this threaded comment; however, any edits to it will get removed if the file is opened in a newer version of Excel. Learn more: https://go.microsoft.com/fwlink/?linkid=870924
Comment:
    Source context: BLS market research analyst median pay was $76,950 in May 2024. The Brain Stormer salary is an editable working assumption.</x:t>
        </x:r>
      </x:text>
    </x:comment>
    <x:comment ref="B45" authorId="2">
      <x:text>
        <x:r>
          <x:t>[Threaded comment]
Your version of Excel allows you to read this threaded comment; however, any edits to it will get removed if the file is opened in a newer version of Excel. Learn more: https://go.microsoft.com/fwlink/?linkid=870924
Comment:
    Source context: CBRE reported U.S. average retail asking rent of $24.59/sq. ft. in Q1 2026. The model uses $30 for a visible service-retail site; local proposals are required.</x:t>
        </x:r>
      </x:text>
    </x:comment>
    <x:comment ref="B48" authorId="3">
      <x:text>
        <x:r>
          <x:t>[Threaded comment]
Your version of Excel allows you to read this threaded comment; however, any edits to it will get removed if the file is opened in a newer version of Excel. Learn more: https://go.microsoft.com/fwlink/?linkid=870924
Comment:
    Management assumption only. Replace with at least three contractor estimates after a test fit and landlord work-letter review.</x:t>
        </x:r>
      </x:text>
    </x:comment>
    <x:comment ref="B20" authorId="4">
      <x:text>
        <x:r>
          <x:t>[Threaded comment]
Your version of Excel allows you to read this threaded comment; however, any edits to it will get removed if the file is opened in a newer version of Excel. Learn more: https://go.microsoft.com/fwlink/?linkid=870924
Comment:
    Management assumption only. Validate paid utilization with a pop-up before signing a flagship lease.</x:t>
        </x:r>
      </x:text>
    </x:comment>
    <x:comment ref="B29" authorId="5">
      <x:text>
        <x:r>
          <x:t>[Threaded comment]
Your version of Excel allows you to read this threaded comment; however, any edits to it will get removed if the file is opened in a newer version of Excel. Learn more: https://go.microsoft.com/fwlink/?linkid=870924
Comment:
    Competitive benchmark: Kickstarter and Indiegogo each advertise a 5% platform fee. Owned-platform economics are gated and excluded from Years 1-2.</x:t>
        </x:r>
      </x:text>
    </x:comment>
    <x:comment ref="D28" authorId="6">
      <x:text>
        <x:r>
          <x:t>[Threaded comment]
Your version of Excel allows you to read this threaded comment; however, any edits to it will get removed if the file is opened in a newer version of Excel. Learn more: https://go.microsoft.com/fwlink/?linkid=870924
Comment:
    Regulatory gate: rewards crowdfunding is distinct from securities crowdfunding. Any securities offering must use a qualified SEC/FINRA intermediary.</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yyyy-mm-dd"/>
    <x:numFmt numFmtId="201" formatCode="$#,##0;[Red]($#,##0);-"/>
    <x:numFmt numFmtId="202" formatCode="0.0"/>
    <x:numFmt numFmtId="203" formatCode="0.0%;[Red](0.0%);-"/>
    <x:numFmt numFmtId="204" formatCode="#,##0;[Red](#,##0);-"/>
    <x:numFmt numFmtId="205" formatCode="0"/>
    <x:numFmt numFmtId="206" formatCode="0.0x;[Red](0.0x);-"/>
    <x:numFmt numFmtId="207" formatCode="$#,##0.0;[Red]($#,##0.0);-"/>
  </x:numFmts>
  <x:fonts count="9">
    <x:font>
      <x:sz val="11"/>
      <x:name val="Carlito"/>
    </x:font>
    <x:font>
      <x:b/>
      <x:sz val="20"/>
      <x:color rgb="FFFFFFFF"/>
      <x:name val="Carlito"/>
    </x:font>
    <x:font>
      <x:i/>
      <x:sz val="10"/>
      <x:color rgb="FF172B4D"/>
      <x:name val="Carlito"/>
    </x:font>
    <x:font>
      <x:b/>
      <x:sz val="11"/>
      <x:color rgb="FFFFFFFF"/>
      <x:name val="Carlito"/>
    </x:font>
    <x:font>
      <x:sz val="11"/>
      <x:color rgb="FF0000FF"/>
      <x:name val="Carlito"/>
    </x:font>
    <x:font>
      <x:b/>
      <x:sz val="11"/>
      <x:color rgb="FF172B4D"/>
      <x:name val="Carlito"/>
    </x:font>
    <x:font>
      <x:sz val="11"/>
      <x:color rgb="FF008000"/>
      <x:name val="Carlito"/>
    </x:font>
    <x:font>
      <x:b/>
      <x:sz val="13"/>
      <x:color rgb="FFFFFFFF"/>
      <x:name val="Carlito"/>
    </x:font>
    <x:font>
      <x:b/>
      <x:sz val="12"/>
      <x:color rgb="FF172B4D"/>
      <x:name val="Carlito"/>
    </x:font>
  </x:fonts>
  <x:fills count="7">
    <x:fill>
      <x:patternFill patternType="none"/>
    </x:fill>
    <x:fill>
      <x:patternFill patternType="gray125"/>
    </x:fill>
    <x:fill>
      <x:patternFill patternType="solid">
        <x:fgColor rgb="FF12263A"/>
      </x:patternFill>
    </x:fill>
    <x:fill>
      <x:patternFill patternType="solid">
        <x:fgColor rgb="FFE9F2F6"/>
      </x:patternFill>
    </x:fill>
    <x:fill>
      <x:patternFill patternType="solid">
        <x:fgColor rgb="FF1F7A8C"/>
      </x:patternFill>
    </x:fill>
    <x:fill>
      <x:patternFill patternType="solid">
        <x:fgColor rgb="FFFFF4CC"/>
      </x:patternFill>
    </x:fill>
    <x:fill>
      <x:patternFill patternType="solid">
        <x:fgColor rgb="FFF3F5F7"/>
      </x:patternFill>
    </x:fill>
  </x:fills>
  <x:borders count="16">
    <x:border/>
    <x:border>
      <x:left style="thin">
        <x:color rgb="FF1F7A8C"/>
      </x:left>
      <x:top style="thin">
        <x:color rgb="FF1F7A8C"/>
      </x:top>
      <x:bottom style="thin">
        <x:color rgb="FF1F7A8C"/>
      </x:bottom>
    </x:border>
    <x:border>
      <x:top style="thin">
        <x:color rgb="FF1F7A8C"/>
      </x:top>
      <x:bottom style="thin">
        <x:color rgb="FF1F7A8C"/>
      </x:bottom>
    </x:border>
    <x:border>
      <x:right style="thin">
        <x:color rgb="FF1F7A8C"/>
      </x:right>
      <x:top style="thin">
        <x:color rgb="FF1F7A8C"/>
      </x:top>
      <x:bottom style="thin">
        <x:color rgb="FF1F7A8C"/>
      </x:bottom>
    </x:border>
    <x:border>
      <x:top style="thin">
        <x:color rgb="FF12263A"/>
      </x:top>
    </x:border>
    <x:border>
      <x:left style="thin">
        <x:color rgb="FFD9E0E6"/>
      </x:left>
      <x:top style="thin">
        <x:color rgb="FFD9E0E6"/>
      </x:top>
    </x:border>
    <x:border>
      <x:top style="thin">
        <x:color rgb="FFD9E0E6"/>
      </x:top>
    </x:border>
    <x:border>
      <x:right style="thin">
        <x:color rgb="FFD9E0E6"/>
      </x:right>
      <x:top style="thin">
        <x:color rgb="FFD9E0E6"/>
      </x:top>
    </x:border>
    <x:border>
      <x:left style="thin">
        <x:color rgb="FFD9E0E6"/>
      </x:left>
    </x:border>
    <x:border>
      <x:right style="thin">
        <x:color rgb="FFD9E0E6"/>
      </x:right>
    </x:border>
    <x:border>
      <x:left style="thin">
        <x:color rgb="FFD9E0E6"/>
      </x:left>
      <x:bottom style="thin">
        <x:color rgb="FFD9E0E6"/>
      </x:bottom>
    </x:border>
    <x:border>
      <x:bottom style="thin">
        <x:color rgb="FFD9E0E6"/>
      </x:bottom>
    </x:border>
    <x:border>
      <x:right style="thin">
        <x:color rgb="FFD9E0E6"/>
      </x:right>
      <x:bottom style="thin">
        <x:color rgb="FFD9E0E6"/>
      </x:bottom>
    </x:border>
    <x:border>
      <x:top style="thin">
        <x:color rgb="FFD9E0E6"/>
      </x:top>
      <x:bottom style="thin">
        <x:color rgb="FFD9E0E6"/>
      </x:bottom>
    </x:border>
    <x:border>
      <x:left style="thin">
        <x:color rgb="FFD9E0E6"/>
      </x:left>
      <x:top style="thin">
        <x:color rgb="FFD9E0E6"/>
      </x:top>
      <x:bottom style="thin">
        <x:color rgb="FF1F7A8C"/>
      </x:bottom>
    </x:border>
    <x:border>
      <x:right style="thin">
        <x:color rgb="FFD9E0E6"/>
      </x:right>
      <x:top style="thin">
        <x:color rgb="FFD9E0E6"/>
      </x:top>
      <x:bottom style="thin">
        <x:color rgb="FF1F7A8C"/>
      </x:bottom>
    </x:border>
  </x:borders>
  <x:cellStyleXfs count="1">
    <x:xf numFmtId="0" fontId="0" fillId="0" borderId="0"/>
  </x:cellStyleXfs>
  <x:cellXfs count="16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200" fontId="0"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0" fillId="5" borderId="0" xfId="0" applyNumberFormat="1" applyFont="1" applyFill="1" applyBorder="1"/>
    <x:xf numFmtId="0" fontId="4" fillId="5" borderId="0" xfId="0" applyNumberFormat="1" applyFont="1" applyFill="1" applyBorder="1"/>
    <x:xf numFmtId="201" fontId="4" fillId="5" borderId="0" xfId="0" applyNumberFormat="1" applyFont="1" applyFill="1" applyBorder="1"/>
    <x:xf numFmtId="202" fontId="4" fillId="5" borderId="0" xfId="0" applyNumberFormat="1" applyFont="1" applyFill="1" applyBorder="1"/>
    <x:xf numFmtId="203" fontId="4" fillId="5" borderId="0" xfId="0" applyNumberFormat="1" applyFont="1" applyFill="1" applyBorder="1"/>
    <x:xf numFmtId="203" fontId="0" fillId="0" borderId="0" xfId="0" applyNumberFormat="1" applyFont="1" applyFill="1" applyBorder="1"/>
    <x:xf numFmtId="201" fontId="0" fillId="0" borderId="0" xfId="0" applyNumberFormat="1" applyFont="1" applyFill="1" applyBorder="1"/>
    <x:xf numFmtId="203" fontId="0" fillId="3" borderId="0" xfId="0" applyNumberFormat="1" applyFont="1" applyFill="1" applyBorder="1"/>
    <x:xf numFmtId="201" fontId="0" fillId="3" borderId="0" xfId="0" applyNumberFormat="1" applyFont="1" applyFill="1" applyBorder="1"/>
    <x:xf numFmtId="0" fontId="5" fillId="3" borderId="0" xfId="0" applyNumberFormat="1" applyFont="1" applyFill="1" applyBorder="1"/>
    <x:xf numFmtId="203" fontId="5" fillId="3" borderId="0" xfId="0" applyNumberFormat="1" applyFont="1" applyFill="1" applyBorder="1"/>
    <x:xf numFmtId="201" fontId="5" fillId="3" borderId="0" xfId="0" applyNumberFormat="1" applyFont="1" applyFill="1" applyBorder="1"/>
    <x:xf numFmtId="0" fontId="5" fillId="3" borderId="4" xfId="0" applyNumberFormat="1" applyFont="1" applyFill="1" applyBorder="1"/>
    <x:xf numFmtId="203" fontId="5" fillId="3" borderId="4" xfId="0" applyNumberFormat="1" applyFont="1" applyFill="1" applyBorder="1"/>
    <x:xf numFmtId="201" fontId="5" fillId="3" borderId="4" xfId="0" applyNumberFormat="1" applyFont="1" applyFill="1" applyBorder="1"/>
    <x:xf numFmtId="204" fontId="4" fillId="5" borderId="0" xfId="0" applyNumberFormat="1" applyFont="1" applyFill="1" applyBorder="1"/>
    <x:xf numFmtId="205" fontId="4" fillId="5" borderId="0" xfId="0" applyNumberFormat="1" applyFont="1" applyFill="1" applyBorder="1"/>
    <x:xf numFmtId="206" fontId="4" fillId="5" borderId="0" xfId="0" applyNumberFormat="1" applyFont="1" applyFill="1" applyBorder="1"/>
    <x:xf numFmtId="0" fontId="6" fillId="0" borderId="0" xfId="0" applyNumberFormat="1" applyFont="1" applyFill="1" applyBorder="1"/>
    <x:xf numFmtId="204" fontId="6" fillId="0" borderId="0" xfId="0" applyNumberFormat="1" applyFont="1" applyFill="1" applyBorder="1"/>
    <x:xf numFmtId="204" fontId="0" fillId="0" borderId="0" xfId="0" applyNumberFormat="1" applyFont="1" applyFill="1" applyBorder="1"/>
    <x:xf numFmtId="203" fontId="6" fillId="0" borderId="0" xfId="0" applyNumberFormat="1" applyFont="1" applyFill="1" applyBorder="1"/>
    <x:xf numFmtId="204" fontId="0" fillId="3" borderId="0" xfId="0" applyNumberFormat="1" applyFont="1" applyFill="1" applyBorder="1"/>
    <x:xf numFmtId="204" fontId="5" fillId="3" borderId="0" xfId="0" applyNumberFormat="1" applyFont="1" applyFill="1" applyBorder="1"/>
    <x:xf numFmtId="204" fontId="5" fillId="3" borderId="4" xfId="0" applyNumberFormat="1" applyFont="1" applyFill="1" applyBorder="1"/>
    <x:xf numFmtId="201" fontId="0" fillId="2" borderId="0" xfId="0" applyNumberFormat="1" applyFont="1" applyFill="1" applyBorder="1"/>
    <x:xf numFmtId="201" fontId="3" fillId="2" borderId="0" xfId="0" applyNumberFormat="1" applyFont="1" applyFill="1" applyBorder="1"/>
    <x:xf numFmtId="0" fontId="3" fillId="2" borderId="4" xfId="0" applyNumberFormat="1" applyFont="1" applyFill="1" applyBorder="1"/>
    <x:xf numFmtId="201" fontId="3" fillId="2" borderId="4" xfId="0" applyNumberFormat="1" applyFont="1" applyFill="1" applyBorder="1"/>
    <x:xf numFmtId="201" fontId="6" fillId="0" borderId="0" xfId="0" applyNumberFormat="1" applyFont="1" applyFill="1" applyBorder="1"/>
    <x:xf numFmtId="201" fontId="3" fillId="2" borderId="0" xfId="0" applyNumberFormat="1" applyFont="1" applyFill="1" applyBorder="1" applyAlignment="1">
      <x:alignment vertical="center"/>
    </x:xf>
    <x:xf numFmtId="0" fontId="0" fillId="0" borderId="5" xfId="0" applyNumberFormat="1" applyFont="1" applyFill="1" applyBorder="1"/>
    <x:xf numFmtId="201" fontId="0" fillId="0" borderId="6" xfId="0" applyNumberFormat="1" applyFont="1" applyFill="1" applyBorder="1"/>
    <x:xf numFmtId="203"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201" fontId="0" fillId="0" borderId="11" xfId="0" applyNumberFormat="1" applyFont="1" applyFill="1" applyBorder="1"/>
    <x:xf numFmtId="203" fontId="0" fillId="0" borderId="11" xfId="0" applyNumberFormat="1" applyFont="1" applyFill="1" applyBorder="1"/>
    <x:xf numFmtId="0" fontId="0" fillId="0" borderId="12" xfId="0" applyNumberFormat="1" applyFont="1" applyFill="1" applyBorder="1"/>
    <x:xf numFmtId="0" fontId="0" fillId="3" borderId="8" xfId="0" applyNumberFormat="1" applyFont="1" applyFill="1" applyBorder="1"/>
    <x:xf numFmtId="0" fontId="0" fillId="3" borderId="9" xfId="0" applyNumberFormat="1" applyFont="1" applyFill="1" applyBorder="1"/>
    <x:xf numFmtId="203" fontId="0" fillId="2" borderId="0" xfId="0" applyNumberFormat="1" applyFont="1" applyFill="1" applyBorder="1"/>
    <x:xf numFmtId="203" fontId="3" fillId="2" borderId="0" xfId="0" applyNumberFormat="1" applyFont="1" applyFill="1" applyBorder="1"/>
    <x:xf numFmtId="0" fontId="7" fillId="2" borderId="0" xfId="0" applyNumberFormat="1" applyFont="1" applyFill="1" applyBorder="1"/>
    <x:xf numFmtId="207" fontId="0" fillId="0" borderId="0" xfId="0" applyNumberFormat="1" applyFont="1" applyFill="1" applyBorder="1"/>
    <x:xf numFmtId="0"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4" fontId="0" fillId="0" borderId="0" xfId="0" applyNumberFormat="1" applyFont="1" applyFill="1" applyBorder="1" applyAlignment="1">
      <x:alignment vertical="top" wrapText="1"/>
    </x:xf>
    <x:xf numFmtId="207"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4" fontId="0" fillId="0" borderId="11"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4" fontId="0" fillId="0" borderId="13" xfId="0" applyNumberFormat="1" applyFont="1" applyFill="1" applyBorder="1" applyAlignment="1">
      <x:alignment vertical="top" wrapText="1"/>
    </x:xf>
    <x:xf numFmtId="207" fontId="0" fillId="0" borderId="13" xfId="0" applyNumberFormat="1" applyFont="1" applyFill="1" applyBorder="1" applyAlignment="1">
      <x:alignment vertical="top" wrapText="1"/>
    </x:xf>
    <x:xf numFmtId="203" fontId="0" fillId="0" borderId="13" xfId="0" applyNumberFormat="1" applyFont="1" applyFill="1" applyBorder="1" applyAlignment="1">
      <x:alignment vertical="top" wrapText="1"/>
    </x:xf>
    <x:xf numFmtId="201" fontId="0" fillId="0" borderId="13" xfId="0" applyNumberFormat="1" applyFont="1" applyFill="1" applyBorder="1" applyAlignment="1">
      <x:alignment vertical="top" wrapText="1"/>
    </x:xf>
    <x:xf numFmtId="0" fontId="0" fillId="0" borderId="6" xfId="0" applyNumberFormat="1" applyFont="1" applyFill="1" applyBorder="1" applyAlignment="1">
      <x:alignment vertical="top" wrapText="1"/>
    </x:xf>
    <x:xf numFmtId="204" fontId="0" fillId="0" borderId="6" xfId="0" applyNumberFormat="1" applyFont="1" applyFill="1" applyBorder="1" applyAlignment="1">
      <x:alignment vertical="top" wrapText="1"/>
    </x:xf>
    <x:xf numFmtId="0" fontId="8" fillId="5" borderId="0" xfId="0" applyNumberFormat="1" applyFont="1" applyFill="1" applyBorder="1"/>
    <x:xf numFmtId="0" fontId="8" fillId="5" borderId="0" xfId="0" applyNumberFormat="1" applyFont="1" applyFill="1" applyBorder="1" applyAlignment="1">
      <x:alignment wrapText="1"/>
    </x:xf>
    <x:xf numFmtId="0" fontId="3" fillId="4" borderId="14" xfId="0" applyNumberFormat="1" applyFont="1" applyFill="1" applyBorder="1" applyAlignment="1">
      <x:alignment horizontal="center" vertical="center" wrapText="1"/>
    </x:xf>
    <x:xf numFmtId="0" fontId="3" fillId="4" borderId="15" xfId="0" applyNumberFormat="1" applyFont="1" applyFill="1" applyBorder="1" applyAlignment="1">
      <x:alignment horizontal="center" vertical="center" wrapText="1"/>
    </x:xf>
    <x:xf numFmtId="201" fontId="6" fillId="0" borderId="9" xfId="0" applyNumberFormat="1" applyFont="1" applyFill="1" applyBorder="1"/>
    <x:xf numFmtId="203" fontId="6" fillId="0" borderId="9" xfId="0" applyNumberFormat="1" applyFont="1" applyFill="1" applyBorder="1"/>
    <x:xf numFmtId="0" fontId="6" fillId="0" borderId="12" xfId="0" applyNumberFormat="1" applyFont="1" applyFill="1" applyBorder="1"/>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3" borderId="0" xfId="0" applyNumberFormat="1" applyFont="1" applyFill="1" applyBorder="1" applyAlignment="1">
      <x:alignment wrapText="1"/>
    </x:xf>
    <x:xf numFmtId="0" fontId="0" fillId="3" borderId="0" xfId="0" applyNumberFormat="1" applyFont="1" applyFill="1" applyBorder="1" applyAlignment="1">
      <x:alignment vertical="top" wrapText="1"/>
    </x:xf>
    <x:xf numFmtId="0" fontId="0" fillId="0"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8" fillId="5" borderId="0" xfId="0" applyNumberFormat="1" applyFont="1" applyFill="1" applyBorder="1" applyAlignment="1">
      <x:alignment vertical="center" wrapText="1"/>
    </x:xf>
    <x:xf numFmtId="201" fontId="0" fillId="0"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0" fillId="0" borderId="8" xfId="0" applyNumberFormat="1" applyFont="1" applyFill="1" applyBorder="1" applyAlignment="1">
      <x:alignment vertical="center"/>
    </x:xf>
    <x:xf numFmtId="201" fontId="6" fillId="0" borderId="9" xfId="0" applyNumberFormat="1" applyFont="1" applyFill="1" applyBorder="1" applyAlignment="1">
      <x:alignment vertical="center"/>
    </x:xf>
    <x:xf numFmtId="0" fontId="0" fillId="6" borderId="0" xfId="0" applyNumberFormat="1" applyFont="1" applyFill="1" applyBorder="1" applyAlignment="1">
      <x:alignment vertical="center" wrapText="1"/>
    </x:xf>
    <x:xf numFmtId="203" fontId="6" fillId="0" borderId="9" xfId="0" applyNumberFormat="1" applyFont="1" applyFill="1" applyBorder="1" applyAlignment="1">
      <x:alignment vertical="center"/>
    </x:xf>
    <x:xf numFmtId="0" fontId="0" fillId="0" borderId="10" xfId="0" applyNumberFormat="1" applyFont="1" applyFill="1" applyBorder="1" applyAlignment="1">
      <x:alignment vertical="center"/>
    </x:xf>
    <x:xf numFmtId="0" fontId="6" fillId="0" borderId="12" xfId="0" applyNumberFormat="1" applyFont="1" applyFill="1" applyBorder="1" applyAlignment="1">
      <x:alignment vertical="center"/>
    </x:xf>
    <x:xf numFmtId="0" fontId="0" fillId="3" borderId="0" xfId="0" applyNumberFormat="1" applyFont="1" applyFill="1" applyBorder="1" applyAlignment="1">
      <x:alignment vertical="center" wrapText="1"/>
    </x:xf>
    <x:xf numFmtId="200" fontId="0" fillId="0" borderId="0" xfId="0" applyNumberFormat="1" applyFont="1" applyFill="1" applyBorder="1" applyAlignment="1">
      <x:alignment vertical="center"/>
    </x:xf>
    <x:xf numFmtId="201" fontId="4" fillId="5" borderId="0" xfId="0" applyNumberFormat="1" applyFont="1" applyFill="1" applyBorder="1" applyAlignment="1">
      <x:alignment vertical="center"/>
    </x:xf>
    <x:xf numFmtId="202" fontId="4" fillId="5" borderId="0" xfId="0" applyNumberFormat="1" applyFont="1" applyFill="1" applyBorder="1" applyAlignment="1">
      <x:alignment vertical="center"/>
    </x:xf>
    <x:xf numFmtId="203" fontId="4" fillId="5" borderId="0" xfId="0" applyNumberFormat="1" applyFont="1" applyFill="1" applyBorder="1" applyAlignment="1">
      <x:alignment vertical="center"/>
    </x:xf>
    <x:xf numFmtId="0" fontId="5" fillId="3" borderId="4" xfId="0" applyNumberFormat="1" applyFont="1" applyFill="1" applyBorder="1" applyAlignment="1">
      <x:alignment vertical="center"/>
    </x:xf>
    <x:xf numFmtId="203" fontId="5" fillId="3" borderId="4" xfId="0" applyNumberFormat="1" applyFont="1" applyFill="1" applyBorder="1" applyAlignment="1">
      <x:alignment vertical="center"/>
    </x:xf>
    <x:xf numFmtId="201" fontId="5" fillId="3" borderId="4" xfId="0" applyNumberFormat="1" applyFont="1" applyFill="1" applyBorder="1" applyAlignment="1">
      <x:alignment vertical="center"/>
    </x:xf>
    <x:xf numFmtId="0" fontId="4" fillId="5" borderId="0" xfId="0" applyNumberFormat="1" applyFont="1" applyFill="1" applyBorder="1" applyAlignment="1">
      <x:alignment vertical="center"/>
    </x:xf>
    <x:xf numFmtId="204" fontId="4" fillId="5" borderId="0" xfId="0" applyNumberFormat="1" applyFont="1" applyFill="1" applyBorder="1" applyAlignment="1">
      <x:alignment vertical="center"/>
    </x:xf>
    <x:xf numFmtId="205" fontId="4" fillId="5" borderId="0" xfId="0" applyNumberFormat="1" applyFont="1" applyFill="1" applyBorder="1" applyAlignment="1">
      <x:alignment vertical="center"/>
    </x:xf>
    <x:xf numFmtId="206" fontId="4" fillId="5" borderId="0" xfId="0" applyNumberFormat="1" applyFont="1" applyFill="1" applyBorder="1" applyAlignment="1">
      <x:alignment vertical="center"/>
    </x:xf>
    <x:xf numFmtId="204" fontId="6" fillId="0" borderId="0" xfId="0" applyNumberFormat="1" applyFont="1" applyFill="1" applyBorder="1" applyAlignment="1">
      <x:alignment vertical="center"/>
    </x:xf>
    <x:xf numFmtId="204" fontId="0" fillId="0" borderId="0" xfId="0" applyNumberFormat="1" applyFont="1" applyFill="1" applyBorder="1" applyAlignment="1">
      <x:alignment vertical="center"/>
    </x:xf>
    <x:xf numFmtId="203" fontId="6" fillId="0" borderId="0" xfId="0" applyNumberFormat="1" applyFont="1" applyFill="1" applyBorder="1" applyAlignment="1">
      <x:alignment vertical="center"/>
    </x:xf>
    <x:xf numFmtId="204" fontId="5" fillId="3" borderId="4" xfId="0" applyNumberFormat="1" applyFont="1" applyFill="1" applyBorder="1" applyAlignment="1">
      <x:alignment vertical="center"/>
    </x:xf>
    <x:xf numFmtId="201" fontId="6" fillId="0" borderId="0" xfId="0" applyNumberFormat="1" applyFont="1" applyFill="1" applyBorder="1" applyAlignment="1">
      <x:alignment vertical="center"/>
    </x:xf>
    <x:xf numFmtId="0" fontId="3" fillId="2" borderId="4" xfId="0" applyNumberFormat="1" applyFont="1" applyFill="1" applyBorder="1" applyAlignment="1">
      <x:alignment vertical="center"/>
    </x:xf>
    <x:xf numFmtId="201" fontId="3" fillId="2" borderId="4" xfId="0" applyNumberFormat="1" applyFont="1" applyFill="1" applyBorder="1" applyAlignment="1">
      <x:alignment vertical="center"/>
    </x:xf>
    <x:xf numFmtId="0" fontId="5" fillId="3" borderId="0" xfId="0" applyNumberFormat="1" applyFont="1" applyFill="1" applyBorder="1" applyAlignment="1">
      <x:alignment vertical="center"/>
    </x:xf>
    <x:xf numFmtId="201" fontId="5" fillId="3" borderId="0" xfId="0" applyNumberFormat="1" applyFont="1" applyFill="1" applyBorder="1" applyAlignment="1">
      <x:alignment vertical="center"/>
    </x:xf>
    <x:xf numFmtId="203" fontId="0" fillId="0" borderId="0" xfId="0" applyNumberFormat="1" applyFont="1" applyFill="1" applyBorder="1" applyAlignment="1">
      <x:alignment vertical="center"/>
    </x:xf>
    <x:xf numFmtId="0"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xf numFmtId="203"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3" borderId="8" xfId="0" applyNumberFormat="1" applyFont="1" applyFill="1" applyBorder="1" applyAlignment="1">
      <x:alignment vertical="center"/>
    </x:xf>
    <x:xf numFmtId="201" fontId="0" fillId="3" borderId="0" xfId="0" applyNumberFormat="1" applyFont="1" applyFill="1" applyBorder="1" applyAlignment="1">
      <x:alignment vertical="center"/>
    </x:xf>
    <x:xf numFmtId="203" fontId="0" fillId="3" borderId="0" xfId="0" applyNumberFormat="1" applyFont="1" applyFill="1" applyBorder="1" applyAlignment="1">
      <x:alignment vertical="center"/>
    </x:xf>
    <x:xf numFmtId="0" fontId="0" fillId="3" borderId="9" xfId="0" applyNumberFormat="1" applyFont="1" applyFill="1" applyBorder="1" applyAlignment="1">
      <x:alignment vertical="center"/>
    </x:xf>
    <x:xf numFmtId="201" fontId="0" fillId="0" borderId="11" xfId="0" applyNumberFormat="1" applyFont="1" applyFill="1" applyBorder="1" applyAlignment="1">
      <x:alignment vertical="center"/>
    </x:xf>
    <x:xf numFmtId="203"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203" fontId="3"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0" fillId="0" borderId="11" xfId="0" applyNumberFormat="1" applyFont="1" applyFill="1" applyBorder="1" applyAlignment="1">
      <x:alignment vertical="center" wrapText="1"/>
    </x:xf>
    <x:xf numFmtId="204" fontId="0" fillId="0" borderId="11" xfId="0" applyNumberFormat="1" applyFont="1" applyFill="1" applyBorder="1" applyAlignment="1">
      <x:alignment vertical="center" wrapText="1"/>
    </x:xf>
    <x:xf numFmtId="0" fontId="0" fillId="0" borderId="13" xfId="0" applyNumberFormat="1" applyFont="1" applyFill="1" applyBorder="1" applyAlignment="1">
      <x:alignment vertical="center" wrapText="1"/>
    </x:xf>
    <x:xf numFmtId="204" fontId="0" fillId="0" borderId="13" xfId="0" applyNumberFormat="1" applyFont="1" applyFill="1" applyBorder="1" applyAlignment="1">
      <x:alignment vertical="center" wrapText="1"/>
    </x:xf>
    <x:xf numFmtId="207" fontId="0" fillId="0" borderId="13" xfId="0" applyNumberFormat="1" applyFont="1" applyFill="1" applyBorder="1" applyAlignment="1">
      <x:alignment vertical="center" wrapText="1"/>
    </x:xf>
    <x:xf numFmtId="203" fontId="0" fillId="0" borderId="13" xfId="0" applyNumberFormat="1" applyFont="1" applyFill="1" applyBorder="1" applyAlignment="1">
      <x:alignment vertical="center" wrapText="1"/>
    </x:xf>
    <x:xf numFmtId="201" fontId="0" fillId="0" borderId="13"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204" fontId="0" fillId="0" borderId="6"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5" fillId="3" borderId="4" xfId="0" applyNumberFormat="1" applyFont="1" applyFill="1" applyBorder="1" applyAlignment="1">
      <x:alignment vertical="center" wrapText="1"/>
    </x:xf>
    <x:xf numFmtId="203"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4" fontId="0" fillId="0" borderId="0" xfId="0" applyNumberFormat="1" applyFont="1" applyFill="1" applyBorder="1" applyAlignment="1">
      <x:alignment vertical="center" wrapText="1"/>
    </x:xf>
  </x:cellXfs>
  <x:cellStyles count="1">
    <x:cellStyle name="Normal" xfId="0"/>
  </x:cellStyles>
  <x:dxfs count="4">
    <x:dxf>
      <x:font>
        <x:b/>
        <x:color rgb="FF008000"/>
      </x:font>
      <x:fill>
        <x:patternFill patternType="solid">
          <x:bgColor rgb="FFE7F5EC"/>
        </x:patternFill>
      </x:fill>
    </x:dxf>
    <x:dxf>
      <x:font>
        <x:b/>
        <x:color rgb="FFC62828"/>
      </x:font>
      <x:fill>
        <x:patternFill patternType="solid">
          <x:bgColor rgb="FFFDECEC"/>
        </x:patternFill>
      </x:fill>
    </x:dxf>
    <x:dxf>
      <x:font>
        <x:b/>
        <x:color rgb="FF008000"/>
      </x:font>
      <x:fill>
        <x:patternFill patternType="solid">
          <x:bgColor rgb="FFE7F5EC"/>
        </x:patternFill>
      </x:fill>
    </x:dxf>
    <x:dxf>
      <x:font>
        <x:b/>
        <x:color rgb="FFC62828"/>
      </x:font>
      <x:fill>
        <x:patternFill patternType="solid">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85fd78dd5c47c5" /><Relationship Type="http://schemas.openxmlformats.org/officeDocument/2006/relationships/theme" Target="/xl/theme/theme1.xml" Id="R5c6aba690b414097" /><Relationship Type="http://schemas.openxmlformats.org/officeDocument/2006/relationships/sharedStrings" Target="/xl/sharedStrings.xml" Id="R3f9adfb4506c40f9" /><Relationship Type="http://schemas.openxmlformats.org/officeDocument/2006/relationships/worksheet" Target="/xl/worksheets/sheet1.xml" Id="Rc727eac14aeb47b0" /><Relationship Type="http://schemas.openxmlformats.org/officeDocument/2006/relationships/worksheet" Target="/xl/worksheets/sheet2.xml" Id="R3f4d8b4c9ad94706" /><Relationship Type="http://schemas.openxmlformats.org/officeDocument/2006/relationships/worksheet" Target="/xl/worksheets/sheet3.xml" Id="R27ddc946e3464d39" /><Relationship Type="http://schemas.openxmlformats.org/officeDocument/2006/relationships/worksheet" Target="/xl/worksheets/sheet4.xml" Id="R73f44c59562e4e15" /><Relationship Type="http://schemas.openxmlformats.org/officeDocument/2006/relationships/worksheet" Target="/xl/worksheets/sheet5.xml" Id="Rfb24c5c0858e4c72" /><Relationship Type="http://schemas.openxmlformats.org/officeDocument/2006/relationships/worksheet" Target="/xl/worksheets/sheet6.xml" Id="Raf63c29961a848ff" /><Relationship Type="http://schemas.openxmlformats.org/officeDocument/2006/relationships/worksheet" Target="/xl/worksheets/sheet7.xml" Id="Rc543302b029241f5" /><Relationship Type="http://schemas.openxmlformats.org/officeDocument/2006/relationships/worksheet" Target="/xl/worksheets/sheet8.xml" Id="R8b1dde0f9da44e28" /><Relationship Type="http://schemas.openxmlformats.org/officeDocument/2006/relationships/worksheet" Target="/xl/worksheets/sheet9.xml" Id="R190a427c75fd419b" /><Relationship Type="http://schemas.microsoft.com/office/2017/10/relationships/person" Target="/xl/persons/person.xml" Id="Ra71200a8b44b4d24" /></Relationships>
</file>

<file path=xl/drawings/_rels/drawing1.xml.rels>&#65279;<?xml version="1.0" encoding="utf-8"?><Relationships xmlns="http://schemas.openxmlformats.org/package/2006/relationships"><Relationship Type="http://schemas.openxmlformats.org/officeDocument/2006/relationships/chart" Target="/xl/drawings/charts/chart1.xml" Id="R426ede0d52f345d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Revenue and EBITDA path ($)</a:t>
            </a:r>
          </a:p>
        </c:rich>
      </c:tx>
    </c:title>
    <c:plotArea>
      <c:lineChart>
        <c:grouping val="standard"/>
        <c:ser>
          <c:idx val="0"/>
          <c:order val="0"/>
          <c:tx>
            <c:v>Revenue</c:v>
          </c:tx>
          <c:marker>
            <c:symbol val="none"/>
          </c:marker>
          <c:cat>
            <c:strRef>
              <c:f>'Cover'!$J$4:$J$8</c:f>
              <c:strCache>
                <c:ptCount val="0"/>
              </c:strCache>
            </c:strRef>
          </c:cat>
          <c:val>
            <c:numRef>
              <c:f>'Cover'!$K$4:$K$8</c:f>
              <c:numCache>
                <c:formatCode>$#,##0;[Red]($#,##0);-</c:formatCode>
                <c:ptCount val="0"/>
              </c:numCache>
            </c:numRef>
          </c:val>
        </c:ser>
        <c:ser>
          <c:idx val="1"/>
          <c:order val="1"/>
          <c:tx>
            <c:v>EBITDA</c:v>
          </c:tx>
          <c:marker>
            <c:symbol val="none"/>
          </c:marker>
          <c:cat>
            <c:strRef>
              <c:f>'Cover'!$J$4:$J$8</c:f>
              <c:strCache>
                <c:ptCount val="0"/>
              </c:strCache>
            </c:strRef>
          </c:cat>
          <c:val>
            <c:numRef>
              <c:f>'Cover'!$L$4:$L$8</c:f>
              <c:numCache>
                <c:formatCode>$#,##0;[Red]($#,##0);-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txPr>
          <a:bodyPr xmlns:a="http://schemas.openxmlformats.org/drawingml/2006/main" anchorCtr="1"/>
          <a:lstStyle xmlns:a="http://schemas.openxmlformats.org/drawingml/2006/main"/>
          <a:p xmlns:a="http://schemas.openxmlformats.org/drawingml/2006/main">
            <a:pPr>
              <a:defRPr sz="675"/>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6ede0d52f345df"/>
        </a:graphicData>
      </a:graphic>
    </xdr:graphicFrame>
    <xdr:clientData/>
  </xdr:twoCellAnchor>
</xdr:wsDr>
</file>

<file path=xl/persons/person.xml><?xml version="1.0" encoding="utf-8"?>
<xltc:personList xmlns:xltc="http://schemas.microsoft.com/office/spreadsheetml/2018/threadedcomments">
  <xltc:person displayName="Dan" id="{E01CCE87-ABA1-4BF1-BCB2-3A4EE46F2417}"/>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34" dT="2026-07-17T17:43:01.71" personId="{E01CCE87-ABA1-4BF1-BCB2-3A4EE46F2417}" id="{22CF42DD-C2C1-A0C4-6013-363AEF828DBB}">
    <xltc:text>Source context: BLS management analyst median pay was $101,190 in May 2024. This GM salary is a management assumption above that benchmark.</xltc:text>
  </xltc:threadedComment>
  <xltc:threadedComment ref="B36" dT="2026-07-17T17:43:01.711" personId="{E01CCE87-ABA1-4BF1-BCB2-3A4EE46F2417}" id="{9472095A-BC28-8D97-7A74-1D50C093AC92}">
    <xltc:text>Source context: BLS market research analyst median pay was $76,950 in May 2024. The Brain Stormer salary is an editable working assumption.</xltc:text>
  </xltc:threadedComment>
  <xltc:threadedComment ref="B45" dT="2026-07-17T17:43:01.711" personId="{E01CCE87-ABA1-4BF1-BCB2-3A4EE46F2417}" id="{D9628AAF-3BC6-2DFA-7286-6C10D23CED95}">
    <xltc:text>Source context: CBRE reported U.S. average retail asking rent of $24.59/sq. ft. in Q1 2026. The model uses $30 for a visible service-retail site; local proposals are required.</xltc:text>
  </xltc:threadedComment>
  <xltc:threadedComment ref="B48" dT="2026-07-17T17:43:01.711" personId="{E01CCE87-ABA1-4BF1-BCB2-3A4EE46F2417}" id="{E5A1A637-5ACC-B391-2783-C673AA362952}">
    <xltc:text>Management assumption only. Replace with at least three contractor estimates after a test fit and landlord work-letter review.</xltc:text>
  </xltc:threadedComment>
  <xltc:threadedComment ref="B20" dT="2026-07-17T17:43:01.711" personId="{E01CCE87-ABA1-4BF1-BCB2-3A4EE46F2417}" id="{8DD7CDE0-F0F0-4834-FFC7-7DAB1DB399EC}">
    <xltc:text>Management assumption only. Validate paid utilization with a pop-up before signing a flagship lease.</xltc:text>
  </xltc:threadedComment>
  <xltc:threadedComment ref="B29" dT="2026-07-17T17:43:01.711" personId="{E01CCE87-ABA1-4BF1-BCB2-3A4EE46F2417}" id="{21262830-BA07-2E47-2472-1CD7D6D64386}">
    <xltc:text>Competitive benchmark: Kickstarter and Indiegogo each advertise a 5% platform fee. Owned-platform economics are gated and excluded from Years 1-2.</xltc:text>
  </xltc:threadedComment>
  <xltc:threadedComment ref="D28" dT="2026-07-17T17:43:01.711" personId="{E01CCE87-ABA1-4BF1-BCB2-3A4EE46F2417}" id="{1ED0D2AD-0B8A-F769-D8AF-A9477DC2E140}">
    <xltc:text>Regulatory gate: rewards crowdfunding is distinct from securities crowdfunding. Any securities offering must use a qualified SEC/FINRA intermediary.</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0cc0ac82ecc040ea" /></Relationships>
</file>

<file path=xl/worksheets/_rels/sheet2.xml.rels>&#65279;<?xml version="1.0" encoding="utf-8"?><Relationships xmlns="http://schemas.openxmlformats.org/package/2006/relationships"><Relationship Type="http://schemas.openxmlformats.org/officeDocument/2006/relationships/comments" Target="/xl/comments1.xml" Id="R0ef4e4c1362c4f50" /><Relationship Type="http://schemas.openxmlformats.org/officeDocument/2006/relationships/vmlDrawing" Target="/xl/drawings/vmldrawing.vml" Id="Rd845fef73e9544e7" /><Relationship Type="http://schemas.microsoft.com/office/2017/10/relationships/threadedComment" Target="/xl/threadedcomments/threadedcomment.xml" Id="Ra14c00f2044b4883"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 hidden="0" customWidth="1"/>
    <x:col min="10" max="10" width="15" hidden="0" customWidth="1"/>
    <x:col min="11" max="11" width="15" hidden="0" customWidth="1"/>
    <x:col min="12" max="12" width="15" hidden="0" customWidth="1"/>
  </x:cols>
  <x:sheetData>
    <x:row r="1" ht="34" customHeight="1">
      <x:c r="A1" s="3" t="str">
        <x:v>Lame Brain Ideas - Financial Feasibility Model</x:v>
      </x:c>
      <x:c r="B1" s="3"/>
      <x:c r="C1" s="3"/>
      <x:c r="D1" s="3"/>
      <x:c r="E1" s="3"/>
      <x:c r="F1" s="3"/>
      <x:c r="G1" s="3"/>
      <x:c r="H1" s="3"/>
      <x:c r="I1" s="101"/>
      <x:c r="J1" s="101"/>
      <x:c r="K1" s="101"/>
      <x:c r="L1" s="101"/>
    </x:row>
    <x:row r="2" ht="24" customHeight="1">
      <x:c r="A2" s="102" t="str">
        <x:v>Investor / operator planning model | Version 1.0 | 2026-07-17</x:v>
      </x:c>
      <x:c r="B2" s="102"/>
      <x:c r="C2" s="102"/>
      <x:c r="D2" s="102"/>
      <x:c r="E2" s="102"/>
      <x:c r="F2" s="102"/>
      <x:c r="G2" s="102"/>
      <x:c r="H2" s="102"/>
      <x:c r="I2" s="101"/>
      <x:c r="J2" s="101"/>
      <x:c r="K2" s="101"/>
      <x:c r="L2" s="101"/>
    </x:row>
    <x:row r="3">
      <x:c r="A3" s="101"/>
      <x:c r="B3" s="101"/>
      <x:c r="C3" s="101"/>
      <x:c r="D3" s="101"/>
      <x:c r="E3" s="101"/>
      <x:c r="F3" s="101"/>
      <x:c r="G3" s="101"/>
      <x:c r="H3" s="101"/>
      <x:c r="I3" s="101"/>
      <x:c r="J3" s="101" t="str">
        <x:v>Year</x:v>
      </x:c>
      <x:c r="K3" s="101" t="str">
        <x:v>Revenue</x:v>
      </x:c>
      <x:c r="L3" s="101" t="str">
        <x:v>EBITDA</x:v>
      </x:c>
    </x:row>
    <x:row r="4" ht="40" customHeight="1">
      <x:c r="A4" s="103" t="str">
        <x:v>Conditional go: validate a lean paid studio before a flagship lease, funding platform, or franchise rollout.</x:v>
      </x:c>
      <x:c r="B4" s="103"/>
      <x:c r="C4" s="103"/>
      <x:c r="D4" s="103"/>
      <x:c r="E4" s="103"/>
      <x:c r="F4" s="103"/>
      <x:c r="G4" s="103"/>
      <x:c r="H4" s="103"/>
      <x:c r="I4" s="101"/>
      <x:c r="J4" s="101" t="str">
        <x:v>Year 1</x:v>
      </x:c>
      <x:c r="K4" s="104" t="n">
        <x:f>'P&amp;L 5-Year'!B11</x:f>
        <x:v>673931.7175</x:v>
      </x:c>
      <x:c r="L4" s="104" t="n">
        <x:f>'P&amp;L 5-Year'!B34</x:f>
        <x:v>-614377.3517499999</x:v>
      </x:c>
    </x:row>
    <x:row r="5">
      <x:c r="A5" s="101"/>
      <x:c r="B5" s="101"/>
      <x:c r="C5" s="101"/>
      <x:c r="D5" s="101"/>
      <x:c r="E5" s="101"/>
      <x:c r="F5" s="101"/>
      <x:c r="G5" s="101"/>
      <x:c r="H5" s="101"/>
      <x:c r="I5" s="101"/>
      <x:c r="J5" s="101" t="str">
        <x:v>Year 2</x:v>
      </x:c>
      <x:c r="K5" s="104" t="n">
        <x:f>'P&amp;L 5-Year'!C11</x:f>
        <x:v>967500.245</x:v>
      </x:c>
      <x:c r="L5" s="104" t="n">
        <x:f>'P&amp;L 5-Year'!C34</x:f>
        <x:v>-372821.74450000003</x:v>
      </x:c>
    </x:row>
    <x:row r="6" ht="25" customHeight="1">
      <x:c r="A6" s="91" t="str">
        <x:v>Base-case output</x:v>
      </x:c>
      <x:c r="B6" s="92" t="str">
        <x:v>Value</x:v>
      </x:c>
      <x:c r="C6" s="101"/>
      <x:c r="D6" s="105" t="str">
        <x:v>How to use the model</x:v>
      </x:c>
      <x:c r="E6" s="105"/>
      <x:c r="F6" s="105"/>
      <x:c r="G6" s="105"/>
      <x:c r="H6" s="105"/>
      <x:c r="I6" s="101"/>
      <x:c r="J6" s="101" t="str">
        <x:v>Year 3</x:v>
      </x:c>
      <x:c r="K6" s="104" t="n">
        <x:f>'P&amp;L 5-Year'!D11</x:f>
        <x:v>1289705.30625</x:v>
      </x:c>
      <x:c r="L6" s="104" t="n">
        <x:f>'P&amp;L 5-Year'!D34</x:f>
        <x:v>-250395.66062500002</x:v>
      </x:c>
    </x:row>
    <x:row r="7" ht="92" customHeight="1">
      <x:c r="A7" s="106" t="str">
        <x:v>Year 5 revenue</x:v>
      </x:c>
      <x:c r="B7" s="107" t="n">
        <x:f>'P&amp;L 5-Year'!F11</x:f>
        <x:v>2009924.2325</x:v>
      </x:c>
      <x:c r="C7" s="101"/>
      <x:c r="D7" s="108" t="str">
        <x:v>1. Edit blue assumptions on the Assumptions tab.
2. Review capacity-led unit economics and the five-year P&amp;L.
3. Use Scenarios to test utilization, pricing, membership, cost, and capex risk.
4. Treat crowdfunding, investor, and rollout values as gated planning cases.
5. Confirm Checks remains PASS after any edit.
This is a feasibility model, not audited financial statements, a valuation, or an offer to sell securities.</x:v>
      </x:c>
      <x:c r="E7" s="108"/>
      <x:c r="F7" s="108"/>
      <x:c r="G7" s="108"/>
      <x:c r="H7" s="108"/>
      <x:c r="I7" s="101"/>
      <x:c r="J7" s="101" t="str">
        <x:v>Year 4</x:v>
      </x:c>
      <x:c r="K7" s="104" t="n">
        <x:f>'P&amp;L 5-Year'!E11</x:f>
        <x:v>1672179.96875</x:v>
      </x:c>
      <x:c r="L7" s="104" t="n">
        <x:f>'P&amp;L 5-Year'!E34</x:f>
        <x:v>-63120.46627500001</x:v>
      </x:c>
    </x:row>
    <x:row r="8" ht="92" customHeight="1">
      <x:c r="A8" s="106" t="str">
        <x:v>Year 5 EBITDA</x:v>
      </x:c>
      <x:c r="B8" s="107" t="n">
        <x:f>'P&amp;L 5-Year'!F34</x:f>
        <x:v>74681.2067679998</x:v>
      </x:c>
      <x:c r="C8" s="101"/>
      <x:c r="D8" s="108"/>
      <x:c r="E8" s="108"/>
      <x:c r="F8" s="108"/>
      <x:c r="G8" s="108"/>
      <x:c r="H8" s="108"/>
      <x:c r="I8" s="101"/>
      <x:c r="J8" s="101" t="str">
        <x:v>Year 5</x:v>
      </x:c>
      <x:c r="K8" s="104" t="n">
        <x:f>'P&amp;L 5-Year'!F11</x:f>
        <x:v>2009924.2325</x:v>
      </x:c>
      <x:c r="L8" s="104" t="n">
        <x:f>'P&amp;L 5-Year'!F34</x:f>
        <x:v>74681.2067679998</x:v>
      </x:c>
    </x:row>
    <x:row r="9" ht="92" customHeight="1">
      <x:c r="A9" s="106" t="str">
        <x:v>Year 5 EBITDA margin</x:v>
      </x:c>
      <x:c r="B9" s="109" t="n">
        <x:f>'P&amp;L 5-Year'!F35</x:f>
        <x:v>0.037156229852062246</x:v>
      </x:c>
      <x:c r="C9" s="101"/>
      <x:c r="D9" s="108"/>
      <x:c r="E9" s="108"/>
      <x:c r="F9" s="108"/>
      <x:c r="G9" s="108"/>
      <x:c r="H9" s="108"/>
      <x:c r="I9" s="101"/>
      <x:c r="J9" s="101"/>
      <x:c r="K9" s="101"/>
      <x:c r="L9" s="101"/>
    </x:row>
    <x:row r="10" ht="92" customHeight="1">
      <x:c r="A10" s="106" t="str">
        <x:v>Required external financing</x:v>
      </x:c>
      <x:c r="B10" s="107" t="n">
        <x:f>'Cash Flow'!B14</x:f>
        <x:v>2648208.5810875</x:v>
      </x:c>
      <x:c r="C10" s="101"/>
      <x:c r="D10" s="108"/>
      <x:c r="E10" s="108"/>
      <x:c r="F10" s="108"/>
      <x:c r="G10" s="108"/>
      <x:c r="H10" s="108"/>
      <x:c r="I10" s="101"/>
      <x:c r="J10" s="101"/>
      <x:c r="K10" s="101"/>
      <x:c r="L10" s="101"/>
    </x:row>
    <x:row r="11" ht="92" customHeight="1">
      <x:c r="A11" s="110" t="str">
        <x:v>First positive EBITDA year</x:v>
      </x:c>
      <x:c r="B11" s="111" t="n">
        <x:f>'Scenarios'!F5</x:f>
        <x:v>5</x:v>
      </x:c>
      <x:c r="C11" s="101"/>
      <x:c r="D11" s="108"/>
      <x:c r="E11" s="108"/>
      <x:c r="F11" s="108"/>
      <x:c r="G11" s="108"/>
      <x:c r="H11" s="108"/>
      <x:c r="I11" s="101"/>
      <x:c r="J11" s="101"/>
      <x:c r="K11" s="101"/>
      <x:c r="L11" s="101"/>
    </x:row>
    <x:row r="12" ht="92" customHeight="1">
      <x:c r="A12" s="101"/>
      <x:c r="B12" s="101"/>
      <x:c r="C12" s="101"/>
      <x:c r="D12" s="108"/>
      <x:c r="E12" s="108"/>
      <x:c r="F12" s="108"/>
      <x:c r="G12" s="108"/>
      <x:c r="H12" s="108"/>
      <x:c r="I12" s="101"/>
      <x:c r="J12" s="101"/>
      <x:c r="K12" s="101"/>
      <x:c r="L12" s="101"/>
    </x:row>
    <x:row r="13">
      <x:c r="A13" s="101"/>
      <x:c r="B13" s="101"/>
      <x:c r="C13" s="101"/>
      <x:c r="D13" s="101"/>
      <x:c r="E13" s="101"/>
      <x:c r="F13" s="101"/>
      <x:c r="G13" s="101"/>
      <x:c r="H13" s="101"/>
      <x:c r="I13" s="101"/>
      <x:c r="J13" s="101"/>
      <x:c r="K13" s="101"/>
      <x:c r="L13" s="101"/>
    </x:row>
    <x:row r="14">
      <x:c r="A14" s="101"/>
      <x:c r="B14" s="101"/>
      <x:c r="C14" s="101"/>
      <x:c r="D14" s="101"/>
      <x:c r="E14" s="101"/>
      <x:c r="F14" s="101"/>
      <x:c r="G14" s="101"/>
      <x:c r="H14" s="101"/>
      <x:c r="I14" s="101"/>
      <x:c r="J14" s="101"/>
      <x:c r="K14" s="101"/>
      <x:c r="L14" s="101"/>
    </x:row>
    <x:row r="15">
      <x:c r="A15" s="101"/>
      <x:c r="B15" s="101"/>
      <x:c r="C15" s="101"/>
      <x:c r="D15" s="101"/>
      <x:c r="E15" s="101"/>
      <x:c r="F15" s="101"/>
      <x:c r="G15" s="101"/>
      <x:c r="H15" s="101"/>
      <x:c r="I15" s="101"/>
      <x:c r="J15" s="101"/>
      <x:c r="K15" s="101"/>
      <x:c r="L15" s="101"/>
    </x:row>
    <x:row r="16">
      <x:c r="A16" s="101"/>
      <x:c r="B16" s="101"/>
      <x:c r="C16" s="101"/>
      <x:c r="D16" s="101"/>
      <x:c r="E16" s="101"/>
      <x:c r="F16" s="101"/>
      <x:c r="G16" s="101"/>
      <x:c r="H16" s="101"/>
      <x:c r="I16" s="101"/>
      <x:c r="J16" s="101"/>
      <x:c r="K16" s="101"/>
      <x:c r="L16" s="101"/>
    </x:row>
    <x:row r="17">
      <x:c r="A17" s="101"/>
      <x:c r="B17" s="101"/>
      <x:c r="C17" s="101"/>
      <x:c r="D17" s="101"/>
      <x:c r="E17" s="101"/>
      <x:c r="F17" s="101"/>
      <x:c r="G17" s="101"/>
      <x:c r="H17" s="101"/>
      <x:c r="I17" s="101"/>
      <x:c r="J17" s="101"/>
      <x:c r="K17" s="101"/>
      <x:c r="L17" s="101"/>
    </x:row>
    <x:row r="18">
      <x:c r="A18" s="101"/>
      <x:c r="B18" s="101"/>
      <x:c r="C18" s="101"/>
      <x:c r="D18" s="101"/>
      <x:c r="E18" s="101"/>
      <x:c r="F18" s="101"/>
      <x:c r="G18" s="101"/>
      <x:c r="H18" s="101"/>
      <x:c r="I18" s="101"/>
      <x:c r="J18" s="101"/>
      <x:c r="K18" s="101"/>
      <x:c r="L18" s="101"/>
    </x:row>
    <x:row r="19">
      <x:c r="A19" s="101"/>
      <x:c r="B19" s="101"/>
      <x:c r="C19" s="101"/>
      <x:c r="D19" s="101"/>
      <x:c r="E19" s="101"/>
      <x:c r="F19" s="101"/>
      <x:c r="G19" s="101"/>
      <x:c r="H19" s="101"/>
      <x:c r="I19" s="101"/>
      <x:c r="J19" s="101"/>
      <x:c r="K19" s="101"/>
      <x:c r="L19" s="101"/>
    </x:row>
    <x:row r="20">
      <x:c r="A20" s="101"/>
      <x:c r="B20" s="101"/>
      <x:c r="C20" s="101"/>
      <x:c r="D20" s="101"/>
      <x:c r="E20" s="101"/>
      <x:c r="F20" s="101"/>
      <x:c r="G20" s="101"/>
      <x:c r="H20" s="101"/>
      <x:c r="I20" s="101"/>
      <x:c r="J20" s="101"/>
      <x:c r="K20" s="101"/>
      <x:c r="L20" s="101"/>
    </x:row>
    <x:row r="21">
      <x:c r="A21" s="101"/>
      <x:c r="B21" s="101"/>
      <x:c r="C21" s="101"/>
      <x:c r="D21" s="101"/>
      <x:c r="E21" s="101"/>
      <x:c r="F21" s="101"/>
      <x:c r="G21" s="101"/>
      <x:c r="H21" s="101"/>
      <x:c r="I21" s="101"/>
      <x:c r="J21" s="101"/>
      <x:c r="K21" s="101"/>
      <x:c r="L21" s="101"/>
    </x:row>
    <x:row r="22">
      <x:c r="A22" s="101"/>
      <x:c r="B22" s="101"/>
      <x:c r="C22" s="101"/>
      <x:c r="D22" s="101"/>
      <x:c r="E22" s="101"/>
      <x:c r="F22" s="101"/>
      <x:c r="G22" s="101"/>
      <x:c r="H22" s="101"/>
      <x:c r="I22" s="101"/>
      <x:c r="J22" s="101"/>
      <x:c r="K22" s="101"/>
      <x:c r="L22" s="101"/>
    </x:row>
    <x:row r="23">
      <x:c r="A23" s="101"/>
      <x:c r="B23" s="101"/>
      <x:c r="C23" s="101"/>
      <x:c r="D23" s="101"/>
      <x:c r="E23" s="101"/>
      <x:c r="F23" s="101"/>
      <x:c r="G23" s="101"/>
      <x:c r="H23" s="101"/>
      <x:c r="I23" s="101"/>
      <x:c r="J23" s="101"/>
      <x:c r="K23" s="101"/>
      <x:c r="L23" s="101"/>
    </x:row>
    <x:row r="24">
      <x:c r="A24" s="101"/>
      <x:c r="B24" s="101"/>
      <x:c r="C24" s="101"/>
      <x:c r="D24" s="101"/>
      <x:c r="E24" s="101"/>
      <x:c r="F24" s="101"/>
      <x:c r="G24" s="101"/>
      <x:c r="H24" s="101"/>
      <x:c r="I24" s="101"/>
      <x:c r="J24" s="101"/>
      <x:c r="K24" s="101"/>
      <x:c r="L24" s="101"/>
    </x:row>
    <x:row r="25">
      <x:c r="A25" s="101"/>
      <x:c r="B25" s="101"/>
      <x:c r="C25" s="101"/>
      <x:c r="D25" s="101"/>
      <x:c r="E25" s="101"/>
      <x:c r="F25" s="101"/>
      <x:c r="G25" s="101"/>
      <x:c r="H25" s="101"/>
      <x:c r="I25" s="101"/>
      <x:c r="J25" s="101"/>
      <x:c r="K25" s="101"/>
      <x:c r="L25" s="101"/>
    </x:row>
    <x:row r="26">
      <x:c r="A26" s="101"/>
      <x:c r="B26" s="101"/>
      <x:c r="C26" s="101"/>
      <x:c r="D26" s="101"/>
      <x:c r="E26" s="101"/>
      <x:c r="F26" s="101"/>
      <x:c r="G26" s="101"/>
      <x:c r="H26" s="101"/>
      <x:c r="I26" s="101"/>
      <x:c r="J26" s="101"/>
      <x:c r="K26" s="101"/>
      <x:c r="L26" s="101"/>
    </x:row>
    <x:row r="27">
      <x:c r="A27" s="101"/>
      <x:c r="B27" s="101"/>
      <x:c r="C27" s="101"/>
      <x:c r="D27" s="101"/>
      <x:c r="E27" s="101"/>
      <x:c r="F27" s="101"/>
      <x:c r="G27" s="101"/>
      <x:c r="H27" s="101"/>
      <x:c r="I27" s="101"/>
      <x:c r="J27" s="101"/>
      <x:c r="K27" s="101"/>
      <x:c r="L27" s="101"/>
    </x:row>
    <x:row r="28">
      <x:c r="A28" s="101"/>
      <x:c r="B28" s="101"/>
      <x:c r="C28" s="101"/>
      <x:c r="D28" s="101"/>
      <x:c r="E28" s="101"/>
      <x:c r="F28" s="101"/>
      <x:c r="G28" s="101"/>
      <x:c r="H28" s="101"/>
      <x:c r="I28" s="101"/>
      <x:c r="J28" s="101"/>
      <x:c r="K28" s="101"/>
      <x:c r="L28" s="101"/>
    </x:row>
    <x:row r="29">
      <x:c r="A29" s="101"/>
      <x:c r="B29" s="101"/>
      <x:c r="C29" s="101"/>
      <x:c r="D29" s="101"/>
      <x:c r="E29" s="101"/>
      <x:c r="F29" s="101"/>
      <x:c r="G29" s="101"/>
      <x:c r="H29" s="101"/>
      <x:c r="I29" s="101"/>
      <x:c r="J29" s="101"/>
      <x:c r="K29" s="101"/>
      <x:c r="L29" s="101"/>
    </x:row>
    <x:row r="30">
      <x:c r="A30" s="101"/>
      <x:c r="B30" s="101"/>
      <x:c r="C30" s="101"/>
      <x:c r="D30" s="101"/>
      <x:c r="E30" s="101"/>
      <x:c r="F30" s="101"/>
      <x:c r="G30" s="101"/>
      <x:c r="H30" s="101"/>
      <x:c r="I30" s="101"/>
      <x:c r="J30" s="101"/>
      <x:c r="K30" s="101"/>
      <x:c r="L30" s="101"/>
    </x:row>
    <x:row r="31">
      <x:c r="A31" s="101"/>
      <x:c r="B31" s="101"/>
      <x:c r="C31" s="101"/>
      <x:c r="D31" s="101"/>
      <x:c r="E31" s="101"/>
      <x:c r="F31" s="101"/>
      <x:c r="G31" s="101"/>
      <x:c r="H31" s="101"/>
      <x:c r="I31" s="101"/>
      <x:c r="J31" s="101"/>
      <x:c r="K31" s="101"/>
      <x:c r="L31" s="101"/>
    </x:row>
    <x:row r="32">
      <x:c r="A32" s="101"/>
      <x:c r="B32" s="101"/>
      <x:c r="C32" s="101"/>
      <x:c r="D32" s="101"/>
      <x:c r="E32" s="101"/>
      <x:c r="F32" s="101"/>
      <x:c r="G32" s="101"/>
      <x:c r="H32" s="101"/>
      <x:c r="I32" s="101"/>
      <x:c r="J32" s="101"/>
      <x:c r="K32" s="101"/>
      <x:c r="L32" s="101"/>
    </x:row>
    <x:row r="33">
      <x:c r="A33" s="8" t="str">
        <x:v>Key interpretation</x:v>
      </x:c>
      <x:c r="B33" s="8"/>
      <x:c r="C33" s="8"/>
      <x:c r="D33" s="8"/>
      <x:c r="E33" s="8"/>
      <x:c r="F33" s="8"/>
      <x:c r="G33" s="8"/>
      <x:c r="H33" s="8"/>
      <x:c r="I33" s="101"/>
      <x:c r="J33" s="101"/>
      <x:c r="K33" s="101"/>
      <x:c r="L33" s="101"/>
    </x:row>
    <x:row r="34" ht="78" customHeight="1">
      <x:c r="A34" s="112" t="str">
        <x:v>The base case requires premium, outcome-based work and a growing membership base. It does not support a low-price walk-in model by itself. The model reaches positive EBITDA only after utilization and recurring revenue mature, so the initial raise must cover opening uses, early operating losses, and a cash buffer. A lower-capital paid pop-up should precede the flagship commitment.</x:v>
      </x:c>
      <x:c r="B34" s="112"/>
      <x:c r="C34" s="112"/>
      <x:c r="D34" s="112"/>
      <x:c r="E34" s="112"/>
      <x:c r="F34" s="112"/>
      <x:c r="G34" s="112"/>
      <x:c r="H34" s="112"/>
      <x:c r="I34" s="101"/>
      <x:c r="J34" s="101"/>
      <x:c r="K34" s="101"/>
      <x:c r="L34" s="101"/>
    </x:row>
    <x:row r="35" ht="78" customHeight="1">
      <x:c r="A35" s="112"/>
      <x:c r="B35" s="112"/>
      <x:c r="C35" s="112"/>
      <x:c r="D35" s="112"/>
      <x:c r="E35" s="112"/>
      <x:c r="F35" s="112"/>
      <x:c r="G35" s="112"/>
      <x:c r="H35" s="112"/>
      <x:c r="I35" s="101"/>
      <x:c r="J35" s="101"/>
      <x:c r="K35" s="101"/>
      <x:c r="L35" s="101"/>
    </x:row>
    <x:row r="36" ht="78" customHeight="1">
      <x:c r="A36" s="112"/>
      <x:c r="B36" s="112"/>
      <x:c r="C36" s="112"/>
      <x:c r="D36" s="112"/>
      <x:c r="E36" s="112"/>
      <x:c r="F36" s="112"/>
      <x:c r="G36" s="112"/>
      <x:c r="H36" s="112"/>
      <x:c r="I36" s="101"/>
      <x:c r="J36" s="101"/>
      <x:c r="K36" s="101"/>
      <x:c r="L36" s="101"/>
    </x:row>
    <x:row r="37" ht="78" customHeight="1">
      <x:c r="A37" s="112"/>
      <x:c r="B37" s="112"/>
      <x:c r="C37" s="112"/>
      <x:c r="D37" s="112"/>
      <x:c r="E37" s="112"/>
      <x:c r="F37" s="112"/>
      <x:c r="G37" s="112"/>
      <x:c r="H37" s="112"/>
      <x:c r="I37" s="101"/>
      <x:c r="J37" s="101"/>
      <x:c r="K37" s="101"/>
      <x:c r="L37" s="101"/>
    </x:row>
    <x:row r="38" ht="78" customHeight="1">
      <x:c r="A38" s="112"/>
      <x:c r="B38" s="112"/>
      <x:c r="C38" s="112"/>
      <x:c r="D38" s="112"/>
      <x:c r="E38" s="112"/>
      <x:c r="F38" s="112"/>
      <x:c r="G38" s="112"/>
      <x:c r="H38" s="112"/>
      <x:c r="I38" s="101"/>
      <x:c r="J38" s="101"/>
      <x:c r="K38" s="101"/>
      <x:c r="L38" s="101"/>
    </x:row>
  </x:sheetData>
  <x:mergeCells>
    <x:mergeCell ref="A1:H1"/>
    <x:mergeCell ref="A2:H2"/>
    <x:mergeCell ref="A4:H4"/>
    <x:mergeCell ref="D6:H6"/>
    <x:mergeCell ref="D7:H12"/>
    <x:mergeCell ref="A33:H33"/>
    <x:mergeCell ref="A34:H38"/>
  </x:mergeCells>
  <x:pageMargins left="0.7" right="0.7" top="0.75" bottom="0.75" header="0.3" footer="0.3"/>
  <x:drawing xmlns:r="http://schemas.openxmlformats.org/officeDocument/2006/relationships" r:id="R0cc0ac82ecc040ea"/>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3" max="3" width="16" hidden="0" customWidth="1"/>
    <x:col min="4" max="4" width="16" hidden="0" customWidth="1"/>
    <x:col min="5" max="5" width="16" hidden="0" customWidth="1"/>
    <x:col min="6" max="6" width="18" hidden="0" customWidth="1"/>
    <x:col min="7" max="7" width="38" hidden="0" customWidth="1"/>
    <x:col min="8" max="8" width="16" hidden="0" customWidth="1"/>
  </x:cols>
  <x:sheetData>
    <x:row r="1" ht="34" customHeight="1">
      <x:c r="A1" s="3" t="str">
        <x:v>Lame Brain Ideas - Assumptions</x:v>
      </x:c>
      <x:c r="B1" s="3"/>
      <x:c r="C1" s="3"/>
      <x:c r="D1" s="3"/>
      <x:c r="E1" s="3"/>
      <x:c r="F1" s="3"/>
      <x:c r="G1" s="3"/>
      <x:c r="H1" s="3"/>
    </x:row>
    <x:row r="2" ht="24" customHeight="1">
      <x:c r="A2" s="102" t="str">
        <x:v>Blue text on pale gold = editable model input | Green text = cross-sheet formula</x:v>
      </x:c>
      <x:c r="B2" s="102"/>
      <x:c r="C2" s="102"/>
      <x:c r="D2" s="102"/>
      <x:c r="E2" s="102"/>
      <x:c r="F2" s="102"/>
      <x:c r="G2" s="102"/>
      <x:c r="H2" s="102"/>
    </x:row>
    <x:row r="3">
      <x:c r="A3" s="101" t="str">
        <x:v>Model date</x:v>
      </x:c>
      <x:c r="B3" s="113" t="n">
        <x:v>46220</x:v>
      </x:c>
      <x:c r="C3" s="101"/>
      <x:c r="D3" s="101"/>
      <x:c r="E3" s="101"/>
      <x:c r="F3" s="101"/>
      <x:c r="G3" s="101"/>
      <x:c r="H3" s="101"/>
    </x:row>
    <x:row r="4">
      <x:c r="A4" s="101" t="str">
        <x:v>Currency</x:v>
      </x:c>
      <x:c r="B4" s="101" t="str">
        <x:v>USD</x:v>
      </x:c>
      <x:c r="C4" s="101"/>
      <x:c r="D4" s="101"/>
      <x:c r="E4" s="101"/>
      <x:c r="F4" s="101"/>
      <x:c r="G4" s="101"/>
      <x:c r="H4" s="101"/>
    </x:row>
    <x:row r="5">
      <x:c r="A5" s="101" t="str">
        <x:v>Base case</x:v>
      </x:c>
      <x:c r="B5" s="101" t="str">
        <x:v>Single 3,200 sq. ft. pilot store</x:v>
      </x:c>
      <x:c r="C5" s="101"/>
      <x:c r="D5" s="101"/>
      <x:c r="E5" s="101"/>
      <x:c r="F5" s="101"/>
      <x:c r="G5" s="101"/>
      <x:c r="H5" s="101"/>
    </x:row>
    <x:row r="6">
      <x:c r="A6" s="101" t="str">
        <x:v>Forecast</x:v>
      </x:c>
      <x:c r="B6" s="101" t="str">
        <x:v>Five full operating years</x:v>
      </x:c>
      <x:c r="C6" s="101"/>
      <x:c r="D6" s="101"/>
      <x:c r="E6" s="101"/>
      <x:c r="F6" s="101"/>
      <x:c r="G6" s="101"/>
      <x:c r="H6" s="101"/>
    </x:row>
    <x:row r="7">
      <x:c r="A7" s="101"/>
      <x:c r="B7" s="101"/>
      <x:c r="C7" s="101"/>
      <x:c r="D7" s="101"/>
      <x:c r="E7" s="101"/>
      <x:c r="F7" s="101"/>
      <x:c r="G7" s="101"/>
      <x:c r="H7" s="101"/>
    </x:row>
    <x:row r="8" ht="22" customHeight="1">
      <x:c r="A8" s="8" t="str">
        <x:v>Service portfolio and pricing</x:v>
      </x:c>
      <x:c r="B8" s="8"/>
      <x:c r="C8" s="8"/>
      <x:c r="D8" s="8"/>
      <x:c r="E8" s="8"/>
      <x:c r="F8" s="8"/>
      <x:c r="G8" s="8"/>
      <x:c r="H8" s="8"/>
    </x:row>
    <x:row r="9" ht="25" customHeight="1">
      <x:c r="A9" s="20" t="str">
        <x:v>Offer</x:v>
      </x:c>
      <x:c r="B9" s="21" t="str">
        <x:v>Price</x:v>
      </x:c>
      <x:c r="C9" s="21" t="str">
        <x:v>Delivery hours</x:v>
      </x:c>
      <x:c r="D9" s="21" t="str">
        <x:v>Hours mix</x:v>
      </x:c>
      <x:c r="E9" s="21" t="str">
        <x:v>Revenue / hour</x:v>
      </x:c>
      <x:c r="F9" s="21" t="str">
        <x:v>Direct cost %</x:v>
      </x:c>
      <x:c r="G9" s="22" t="str">
        <x:v>Status / rationale</x:v>
      </x:c>
      <x:c r="H9" s="101"/>
    </x:row>
    <x:row r="10" ht="34" customHeight="1">
      <x:c r="A10" s="101" t="str">
        <x:v>Quick Diagnostic</x:v>
      </x:c>
      <x:c r="B10" s="114" t="n">
        <x:v>99</x:v>
      </x:c>
      <x:c r="C10" s="115" t="n">
        <x:v>1</x:v>
      </x:c>
      <x:c r="D10" s="116" t="n">
        <x:v>0.15</x:v>
      </x:c>
      <x:c r="E10" s="104" t="n">
        <x:f>B10/C10</x:f>
        <x:v>99</x:v>
      </x:c>
      <x:c r="F10" s="116" t="n">
        <x:v>0.05</x:v>
      </x:c>
      <x:c r="G10" s="156" t="str">
        <x:v>Working price; validate in paid pilot</x:v>
      </x:c>
      <x:c r="H10" s="101"/>
    </x:row>
    <x:row r="11" ht="34" customHeight="1">
      <x:c r="A11" s="101" t="str">
        <x:v>Idea Sprint</x:v>
      </x:c>
      <x:c r="B11" s="114" t="n">
        <x:v>649</x:v>
      </x:c>
      <x:c r="C11" s="115" t="n">
        <x:v>4</x:v>
      </x:c>
      <x:c r="D11" s="116" t="n">
        <x:v>0.35</x:v>
      </x:c>
      <x:c r="E11" s="104" t="n">
        <x:f>B11/C11</x:f>
        <x:v>162.25</x:v>
      </x:c>
      <x:c r="F11" s="116" t="n">
        <x:v>0.08</x:v>
      </x:c>
      <x:c r="G11" s="156" t="str">
        <x:v>Working price; validate scope and conversion</x:v>
      </x:c>
      <x:c r="H11" s="101"/>
    </x:row>
    <x:row r="12" ht="34" customHeight="1">
      <x:c r="A12" s="101" t="str">
        <x:v>Venture Build</x:v>
      </x:c>
      <x:c r="B12" s="114" t="n">
        <x:v>3750</x:v>
      </x:c>
      <x:c r="C12" s="115" t="n">
        <x:v>20</x:v>
      </x:c>
      <x:c r="D12" s="116" t="n">
        <x:v>0.32</x:v>
      </x:c>
      <x:c r="E12" s="104" t="n">
        <x:f>B12/C12</x:f>
        <x:v>187.5</x:v>
      </x:c>
      <x:c r="F12" s="116" t="n">
        <x:v>0.12</x:v>
      </x:c>
      <x:c r="G12" s="156" t="str">
        <x:v>Includes specialist/freelancer pass-through</x:v>
      </x:c>
      <x:c r="H12" s="101"/>
    </x:row>
    <x:row r="13" ht="34" customHeight="1">
      <x:c r="A13" s="101" t="str">
        <x:v>Launch Studio</x:v>
      </x:c>
      <x:c r="B13" s="114" t="n">
        <x:v>12500</x:v>
      </x:c>
      <x:c r="C13" s="115" t="n">
        <x:v>60</x:v>
      </x:c>
      <x:c r="D13" s="116" t="n">
        <x:v>0.18</x:v>
      </x:c>
      <x:c r="E13" s="104" t="n">
        <x:f>B13/C13</x:f>
        <x:v>208.33333333333334</x:v>
      </x:c>
      <x:c r="F13" s="116" t="n">
        <x:v>0.18</x:v>
      </x:c>
      <x:c r="G13" s="156" t="str">
        <x:v>High-touch package; tightly qualify customers</x:v>
      </x:c>
      <x:c r="H13" s="101"/>
    </x:row>
    <x:row r="14" ht="34" customHeight="1">
      <x:c r="A14" s="117" t="str">
        <x:v>Portfolio check / weighted rate</x:v>
      </x:c>
      <x:c r="B14" s="117"/>
      <x:c r="C14" s="117"/>
      <x:c r="D14" s="118" t="n">
        <x:f>SUM(D10:D13)</x:f>
        <x:v>1</x:v>
      </x:c>
      <x:c r="E14" s="119" t="n">
        <x:f>D10*E10+D11*E11+D12*E12+D13*E13</x:f>
        <x:v>169.1375</x:v>
      </x:c>
      <x:c r="F14" s="118" t="n">
        <x:f>(B10*F10*D10/C10+B11*F11*D11/C11+B12*F12*D12/C12+B13*F13*D13/C13)/E14</x:f>
        <x:v>0.11372699726553841</x:v>
      </x:c>
      <x:c r="G14" s="157" t="str">
        <x:v>Hours mix must equal 100%</x:v>
      </x:c>
      <x:c r="H14" s="101"/>
    </x:row>
    <x:row r="15">
      <x:c r="A15" s="101"/>
      <x:c r="B15" s="101"/>
      <x:c r="C15" s="101"/>
      <x:c r="D15" s="101"/>
      <x:c r="E15" s="101"/>
      <x:c r="F15" s="101"/>
      <x:c r="G15" s="101"/>
      <x:c r="H15" s="101"/>
    </x:row>
    <x:row r="16" ht="22" customHeight="1">
      <x:c r="A16" s="8" t="str">
        <x:v>Capacity and utilization</x:v>
      </x:c>
      <x:c r="B16" s="8"/>
      <x:c r="C16" s="8"/>
      <x:c r="D16" s="8"/>
      <x:c r="E16" s="8"/>
      <x:c r="F16" s="8"/>
      <x:c r="G16" s="8"/>
      <x:c r="H16" s="8"/>
    </x:row>
    <x:row r="17">
      <x:c r="A17" s="101" t="str">
        <x:v>Delivery FTE</x:v>
      </x:c>
      <x:c r="B17" s="120" t="n">
        <x:v>5</x:v>
      </x:c>
      <x:c r="C17" s="101"/>
      <x:c r="D17" s="101"/>
      <x:c r="E17" s="101"/>
      <x:c r="F17" s="101"/>
      <x:c r="G17" s="101"/>
      <x:c r="H17" s="101"/>
    </x:row>
    <x:row r="18">
      <x:c r="A18" s="101" t="str">
        <x:v>Available client hours / delivery FTE</x:v>
      </x:c>
      <x:c r="B18" s="120" t="n">
        <x:v>1450</x:v>
      </x:c>
      <x:c r="C18" s="101"/>
      <x:c r="D18" s="101"/>
      <x:c r="E18" s="101"/>
      <x:c r="F18" s="101"/>
      <x:c r="G18" s="101"/>
      <x:c r="H18" s="101"/>
    </x:row>
    <x:row r="19" ht="25" customHeight="1">
      <x:c r="A19" s="20" t="str">
        <x:v>Utilization</x:v>
      </x:c>
      <x:c r="B19" s="21" t="str">
        <x:v>Year 1</x:v>
      </x:c>
      <x:c r="C19" s="21" t="str">
        <x:v>Year 2</x:v>
      </x:c>
      <x:c r="D19" s="21" t="str">
        <x:v>Year 3</x:v>
      </x:c>
      <x:c r="E19" s="21" t="str">
        <x:v>Year 4</x:v>
      </x:c>
      <x:c r="F19" s="22" t="str">
        <x:v>Year 5</x:v>
      </x:c>
      <x:c r="G19" s="101"/>
      <x:c r="H19" s="101"/>
    </x:row>
    <x:row r="20">
      <x:c r="A20" s="101" t="str">
        <x:v>Paid delivery hours / capacity</x:v>
      </x:c>
      <x:c r="B20" s="116" t="n">
        <x:v>0.38</x:v>
      </x:c>
      <x:c r="C20" s="116" t="n">
        <x:v>0.52</x:v>
      </x:c>
      <x:c r="D20" s="116" t="n">
        <x:v>0.65</x:v>
      </x:c>
      <x:c r="E20" s="116" t="n">
        <x:v>0.75</x:v>
      </x:c>
      <x:c r="F20" s="116" t="n">
        <x:v>0.82</x:v>
      </x:c>
      <x:c r="G20" s="101"/>
      <x:c r="H20" s="101"/>
    </x:row>
    <x:row r="21">
      <x:c r="A21" s="101"/>
      <x:c r="B21" s="101"/>
      <x:c r="C21" s="101"/>
      <x:c r="D21" s="101"/>
      <x:c r="E21" s="101"/>
      <x:c r="F21" s="101"/>
      <x:c r="G21" s="101"/>
      <x:c r="H21" s="101"/>
    </x:row>
    <x:row r="22" ht="22" customHeight="1">
      <x:c r="A22" s="8" t="str">
        <x:v>Membership and later-phase revenue drivers</x:v>
      </x:c>
      <x:c r="B22" s="8"/>
      <x:c r="C22" s="8"/>
      <x:c r="D22" s="8"/>
      <x:c r="E22" s="8"/>
      <x:c r="F22" s="8"/>
      <x:c r="G22" s="8"/>
      <x:c r="H22" s="8"/>
    </x:row>
    <x:row r="23" ht="25" customHeight="1">
      <x:c r="A23" s="20" t="str">
        <x:v>Driver</x:v>
      </x:c>
      <x:c r="B23" s="21" t="str">
        <x:v>Year 1</x:v>
      </x:c>
      <x:c r="C23" s="21" t="str">
        <x:v>Year 2</x:v>
      </x:c>
      <x:c r="D23" s="21" t="str">
        <x:v>Year 3</x:v>
      </x:c>
      <x:c r="E23" s="21" t="str">
        <x:v>Year 4</x:v>
      </x:c>
      <x:c r="F23" s="22" t="str">
        <x:v>Year 5</x:v>
      </x:c>
      <x:c r="G23" s="101"/>
      <x:c r="H23" s="101"/>
    </x:row>
    <x:row r="24">
      <x:c r="A24" s="101" t="str">
        <x:v>Founder membership price / month</x:v>
      </x:c>
      <x:c r="B24" s="114" t="n">
        <x:v>99</x:v>
      </x:c>
      <x:c r="C24" s="114"/>
      <x:c r="D24" s="114"/>
      <x:c r="E24" s="114"/>
      <x:c r="F24" s="114"/>
      <x:c r="G24" s="101"/>
      <x:c r="H24" s="101"/>
    </x:row>
    <x:row r="25">
      <x:c r="A25" s="101" t="str">
        <x:v>Average active members</x:v>
      </x:c>
      <x:c r="B25" s="121" t="n">
        <x:v>110</x:v>
      </x:c>
      <x:c r="C25" s="121" t="n">
        <x:v>180</x:v>
      </x:c>
      <x:c r="D25" s="121" t="n">
        <x:v>260</x:v>
      </x:c>
      <x:c r="E25" s="121" t="n">
        <x:v>340</x:v>
      </x:c>
      <x:c r="F25" s="121" t="n">
        <x:v>420</x:v>
      </x:c>
      <x:c r="G25" s="101"/>
      <x:c r="H25" s="101"/>
    </x:row>
    <x:row r="26">
      <x:c r="A26" s="101" t="str">
        <x:v>Events and private workshops</x:v>
      </x:c>
      <x:c r="B26" s="114" t="n">
        <x:v>40000</x:v>
      </x:c>
      <x:c r="C26" s="114" t="n">
        <x:v>65000</x:v>
      </x:c>
      <x:c r="D26" s="114" t="n">
        <x:v>90000</x:v>
      </x:c>
      <x:c r="E26" s="114" t="n">
        <x:v>110000</x:v>
      </x:c>
      <x:c r="F26" s="114" t="n">
        <x:v>125000</x:v>
      </x:c>
      <x:c r="G26" s="101"/>
      <x:c r="H26" s="101"/>
    </x:row>
    <x:row r="27">
      <x:c r="A27" s="101" t="str">
        <x:v>Lab / prototype add-ons (% of service revenue)</x:v>
      </x:c>
      <x:c r="B27" s="116" t="n">
        <x:v>0.08</x:v>
      </x:c>
      <x:c r="C27" s="116"/>
      <x:c r="D27" s="116"/>
      <x:c r="E27" s="116"/>
      <x:c r="F27" s="116"/>
      <x:c r="G27" s="101"/>
      <x:c r="H27" s="101"/>
    </x:row>
    <x:row r="28">
      <x:c r="A28" s="101" t="str">
        <x:v>Rewards crowdfunding GMV (gated)</x:v>
      </x:c>
      <x:c r="B28" s="114" t="n">
        <x:v>0</x:v>
      </x:c>
      <x:c r="C28" s="114" t="n">
        <x:v>0</x:v>
      </x:c>
      <x:c r="D28" s="114" t="n">
        <x:v>600000</x:v>
      </x:c>
      <x:c r="E28" s="114" t="n">
        <x:v>1800000</x:v>
      </x:c>
      <x:c r="F28" s="114" t="n">
        <x:v>3000000</x:v>
      </x:c>
      <x:c r="G28" s="101"/>
      <x:c r="H28" s="101"/>
    </x:row>
    <x:row r="29">
      <x:c r="A29" s="101" t="str">
        <x:v>Rewards platform fee</x:v>
      </x:c>
      <x:c r="B29" s="116" t="n">
        <x:v>0.05</x:v>
      </x:c>
      <x:c r="C29" s="116"/>
      <x:c r="D29" s="116"/>
      <x:c r="E29" s="116"/>
      <x:c r="F29" s="116"/>
      <x:c r="G29" s="101"/>
      <x:c r="H29" s="101"/>
    </x:row>
    <x:row r="30">
      <x:c r="A30" s="101" t="str">
        <x:v>Investor network members (gated)</x:v>
      </x:c>
      <x:c r="B30" s="121" t="n">
        <x:v>0</x:v>
      </x:c>
      <x:c r="C30" s="121" t="n">
        <x:v>0</x:v>
      </x:c>
      <x:c r="D30" s="121" t="n">
        <x:v>0</x:v>
      </x:c>
      <x:c r="E30" s="121" t="n">
        <x:v>15</x:v>
      </x:c>
      <x:c r="F30" s="121" t="n">
        <x:v>30</x:v>
      </x:c>
      <x:c r="G30" s="101"/>
      <x:c r="H30" s="101"/>
    </x:row>
    <x:row r="31">
      <x:c r="A31" s="101" t="str">
        <x:v>Investor membership / year</x:v>
      </x:c>
      <x:c r="B31" s="114" t="n">
        <x:v>5000</x:v>
      </x:c>
      <x:c r="C31" s="114"/>
      <x:c r="D31" s="114"/>
      <x:c r="E31" s="114"/>
      <x:c r="F31" s="114"/>
      <x:c r="G31" s="101"/>
      <x:c r="H31" s="101"/>
    </x:row>
    <x:row r="32">
      <x:c r="A32" s="101"/>
      <x:c r="B32" s="101"/>
      <x:c r="C32" s="101"/>
      <x:c r="D32" s="101"/>
      <x:c r="E32" s="101"/>
      <x:c r="F32" s="101"/>
      <x:c r="G32" s="101"/>
      <x:c r="H32" s="101"/>
    </x:row>
    <x:row r="33" ht="22" customHeight="1">
      <x:c r="A33" s="8" t="str">
        <x:v>Staffing</x:v>
      </x:c>
      <x:c r="B33" s="8"/>
      <x:c r="C33" s="8"/>
      <x:c r="D33" s="8"/>
      <x:c r="E33" s="8"/>
      <x:c r="F33" s="8"/>
      <x:c r="G33" s="8"/>
      <x:c r="H33" s="8"/>
    </x:row>
    <x:row r="34">
      <x:c r="A34" s="101" t="str">
        <x:v>Store GM / Senior Brain Surgeon salary</x:v>
      </x:c>
      <x:c r="B34" s="114" t="n">
        <x:v>120000</x:v>
      </x:c>
      <x:c r="C34" s="101"/>
      <x:c r="D34" s="101"/>
      <x:c r="E34" s="101"/>
      <x:c r="F34" s="101"/>
      <x:c r="G34" s="101"/>
      <x:c r="H34" s="101"/>
    </x:row>
    <x:row r="35">
      <x:c r="A35" s="101" t="str">
        <x:v>Brain Stormer FTE</x:v>
      </x:c>
      <x:c r="B35" s="115" t="n">
        <x:v>4</x:v>
      </x:c>
      <x:c r="C35" s="101"/>
      <x:c r="D35" s="101"/>
      <x:c r="E35" s="101"/>
      <x:c r="F35" s="101"/>
      <x:c r="G35" s="101"/>
      <x:c r="H35" s="101"/>
    </x:row>
    <x:row r="36">
      <x:c r="A36" s="101" t="str">
        <x:v>Brain Stormer salary</x:v>
      </x:c>
      <x:c r="B36" s="114" t="n">
        <x:v>78000</x:v>
      </x:c>
      <x:c r="C36" s="101"/>
      <x:c r="D36" s="101"/>
      <x:c r="E36" s="101"/>
      <x:c r="F36" s="101"/>
      <x:c r="G36" s="101"/>
      <x:c r="H36" s="101"/>
    </x:row>
    <x:row r="37">
      <x:c r="A37" s="101" t="str">
        <x:v>Community / operations salary</x:v>
      </x:c>
      <x:c r="B37" s="114" t="n">
        <x:v>75000</x:v>
      </x:c>
      <x:c r="C37" s="101"/>
      <x:c r="D37" s="101"/>
      <x:c r="E37" s="101"/>
      <x:c r="F37" s="101"/>
      <x:c r="G37" s="101"/>
      <x:c r="H37" s="101"/>
    </x:row>
    <x:row r="38">
      <x:c r="A38" s="101" t="str">
        <x:v>Prototype specialist FTE</x:v>
      </x:c>
      <x:c r="B38" s="115" t="n">
        <x:v>0.5</x:v>
      </x:c>
      <x:c r="C38" s="101"/>
      <x:c r="D38" s="101"/>
      <x:c r="E38" s="101"/>
      <x:c r="F38" s="101"/>
      <x:c r="G38" s="101"/>
      <x:c r="H38" s="101"/>
    </x:row>
    <x:row r="39">
      <x:c r="A39" s="101" t="str">
        <x:v>Prototype specialist salary</x:v>
      </x:c>
      <x:c r="B39" s="114" t="n">
        <x:v>90000</x:v>
      </x:c>
      <x:c r="C39" s="101"/>
      <x:c r="D39" s="101"/>
      <x:c r="E39" s="101"/>
      <x:c r="F39" s="101"/>
      <x:c r="G39" s="101"/>
      <x:c r="H39" s="101"/>
    </x:row>
    <x:row r="40">
      <x:c r="A40" s="101" t="str">
        <x:v>Payroll burden and benefits</x:v>
      </x:c>
      <x:c r="B40" s="116" t="n">
        <x:v>0.2</x:v>
      </x:c>
      <x:c r="C40" s="101"/>
      <x:c r="D40" s="101"/>
      <x:c r="E40" s="101"/>
      <x:c r="F40" s="101"/>
      <x:c r="G40" s="101"/>
      <x:c r="H40" s="101"/>
    </x:row>
    <x:row r="41">
      <x:c r="A41" s="101" t="str">
        <x:v>Annual wage inflation</x:v>
      </x:c>
      <x:c r="B41" s="116" t="n">
        <x:v>0.03</x:v>
      </x:c>
      <x:c r="C41" s="101"/>
      <x:c r="D41" s="101"/>
      <x:c r="E41" s="101"/>
      <x:c r="F41" s="101"/>
      <x:c r="G41" s="101"/>
      <x:c r="H41" s="101"/>
    </x:row>
    <x:row r="42">
      <x:c r="A42" s="101"/>
      <x:c r="B42" s="101"/>
      <x:c r="C42" s="101"/>
      <x:c r="D42" s="101"/>
      <x:c r="E42" s="101"/>
      <x:c r="F42" s="101"/>
      <x:c r="G42" s="101"/>
      <x:c r="H42" s="101"/>
    </x:row>
    <x:row r="43" ht="22" customHeight="1">
      <x:c r="A43" s="8" t="str">
        <x:v>Facility, opening uses, and cash buffer</x:v>
      </x:c>
      <x:c r="B43" s="8"/>
      <x:c r="C43" s="8"/>
      <x:c r="D43" s="8"/>
      <x:c r="E43" s="8"/>
      <x:c r="F43" s="8"/>
      <x:c r="G43" s="8"/>
      <x:c r="H43" s="8"/>
    </x:row>
    <x:row r="44">
      <x:c r="A44" s="101" t="str">
        <x:v>Store size (sq. ft.)</x:v>
      </x:c>
      <x:c r="B44" s="121" t="n">
        <x:v>3200</x:v>
      </x:c>
      <x:c r="C44" s="101"/>
      <x:c r="D44" s="101"/>
      <x:c r="E44" s="101"/>
      <x:c r="F44" s="101"/>
      <x:c r="G44" s="101"/>
      <x:c r="H44" s="101"/>
    </x:row>
    <x:row r="45">
      <x:c r="A45" s="101" t="str">
        <x:v>Base rent / sq. ft.</x:v>
      </x:c>
      <x:c r="B45" s="114" t="n">
        <x:v>30</x:v>
      </x:c>
      <x:c r="C45" s="101"/>
      <x:c r="D45" s="101"/>
      <x:c r="E45" s="101"/>
      <x:c r="F45" s="101"/>
      <x:c r="G45" s="101"/>
      <x:c r="H45" s="101"/>
    </x:row>
    <x:row r="46">
      <x:c r="A46" s="101" t="str">
        <x:v>NNN / CAM / sq. ft.</x:v>
      </x:c>
      <x:c r="B46" s="114" t="n">
        <x:v>9</x:v>
      </x:c>
      <x:c r="C46" s="101"/>
      <x:c r="D46" s="101"/>
      <x:c r="E46" s="101"/>
      <x:c r="F46" s="101"/>
      <x:c r="G46" s="101"/>
      <x:c r="H46" s="101"/>
    </x:row>
    <x:row r="47">
      <x:c r="A47" s="101" t="str">
        <x:v>Annual occupancy escalation</x:v>
      </x:c>
      <x:c r="B47" s="116" t="n">
        <x:v>0.03</x:v>
      </x:c>
      <x:c r="C47" s="101"/>
      <x:c r="D47" s="101"/>
      <x:c r="E47" s="101"/>
      <x:c r="F47" s="101"/>
      <x:c r="G47" s="101"/>
      <x:c r="H47" s="101"/>
    </x:row>
    <x:row r="48">
      <x:c r="A48" s="101" t="str">
        <x:v>Leasehold improvements / sq. ft.</x:v>
      </x:c>
      <x:c r="B48" s="114" t="n">
        <x:v>175</x:v>
      </x:c>
      <x:c r="C48" s="101"/>
      <x:c r="D48" s="101"/>
      <x:c r="E48" s="101"/>
      <x:c r="F48" s="101"/>
      <x:c r="G48" s="101"/>
      <x:c r="H48" s="101"/>
    </x:row>
    <x:row r="49">
      <x:c r="A49" s="101" t="str">
        <x:v>Furniture, fixtures, and equipment</x:v>
      </x:c>
      <x:c r="B49" s="114" t="n">
        <x:v>120000</x:v>
      </x:c>
      <x:c r="C49" s="101"/>
      <x:c r="D49" s="101"/>
      <x:c r="E49" s="101"/>
      <x:c r="F49" s="101"/>
      <x:c r="G49" s="101"/>
      <x:c r="H49" s="101"/>
    </x:row>
    <x:row r="50">
      <x:c r="A50" s="101" t="str">
        <x:v>Technology and studio equipment</x:v>
      </x:c>
      <x:c r="B50" s="114" t="n">
        <x:v>140000</x:v>
      </x:c>
      <x:c r="C50" s="101"/>
      <x:c r="D50" s="101"/>
      <x:c r="E50" s="101"/>
      <x:c r="F50" s="101"/>
      <x:c r="G50" s="101"/>
      <x:c r="H50" s="101"/>
    </x:row>
    <x:row r="51">
      <x:c r="A51" s="101" t="str">
        <x:v>Pre-opening, training, permits, launch</x:v>
      </x:c>
      <x:c r="B51" s="114" t="n">
        <x:v>125000</x:v>
      </x:c>
      <x:c r="C51" s="101"/>
      <x:c r="D51" s="101"/>
      <x:c r="E51" s="101"/>
      <x:c r="F51" s="101"/>
      <x:c r="G51" s="101"/>
      <x:c r="H51" s="101"/>
    </x:row>
    <x:row r="52">
      <x:c r="A52" s="101" t="str">
        <x:v>Lease and utility deposits</x:v>
      </x:c>
      <x:c r="B52" s="114" t="n">
        <x:v>50000</x:v>
      </x:c>
      <x:c r="C52" s="101"/>
      <x:c r="D52" s="101"/>
      <x:c r="E52" s="101"/>
      <x:c r="F52" s="101"/>
      <x:c r="G52" s="101"/>
      <x:c r="H52" s="101"/>
    </x:row>
    <x:row r="53">
      <x:c r="A53" s="101" t="str">
        <x:v>Minimum cash buffer</x:v>
      </x:c>
      <x:c r="B53" s="114" t="n">
        <x:v>250000</x:v>
      </x:c>
      <x:c r="C53" s="101"/>
      <x:c r="D53" s="101"/>
      <x:c r="E53" s="101"/>
      <x:c r="F53" s="101"/>
      <x:c r="G53" s="101"/>
      <x:c r="H53" s="101"/>
    </x:row>
    <x:row r="54">
      <x:c r="A54" s="101"/>
      <x:c r="B54" s="101"/>
      <x:c r="C54" s="101"/>
      <x:c r="D54" s="101"/>
      <x:c r="E54" s="101"/>
      <x:c r="F54" s="101"/>
      <x:c r="G54" s="101"/>
      <x:c r="H54" s="101"/>
    </x:row>
    <x:row r="55" ht="22" customHeight="1">
      <x:c r="A55" s="8" t="str">
        <x:v>Operating expense, tax, and cash-flow drivers</x:v>
      </x:c>
      <x:c r="B55" s="8"/>
      <x:c r="C55" s="8"/>
      <x:c r="D55" s="8"/>
      <x:c r="E55" s="8"/>
      <x:c r="F55" s="8"/>
      <x:c r="G55" s="8"/>
      <x:c r="H55" s="8"/>
    </x:row>
    <x:row r="56">
      <x:c r="A56" s="101" t="str">
        <x:v>Technology / software - Year 1</x:v>
      </x:c>
      <x:c r="B56" s="114" t="n">
        <x:v>90000</x:v>
      </x:c>
      <x:c r="C56" s="114"/>
      <x:c r="D56" s="114"/>
      <x:c r="E56" s="114"/>
      <x:c r="F56" s="114"/>
      <x:c r="G56" s="101"/>
      <x:c r="H56" s="101"/>
    </x:row>
    <x:row r="57">
      <x:c r="A57" s="101" t="str">
        <x:v>Technology annual escalation</x:v>
      </x:c>
      <x:c r="B57" s="116" t="n">
        <x:v>0.08</x:v>
      </x:c>
      <x:c r="C57" s="116"/>
      <x:c r="D57" s="116"/>
      <x:c r="E57" s="116"/>
      <x:c r="F57" s="116"/>
      <x:c r="G57" s="101"/>
      <x:c r="H57" s="101"/>
    </x:row>
    <x:row r="58">
      <x:c r="A58" s="101" t="str">
        <x:v>Sales and marketing</x:v>
      </x:c>
      <x:c r="B58" s="114" t="n">
        <x:v>150000</x:v>
      </x:c>
      <x:c r="C58" s="114" t="n">
        <x:v>130000</x:v>
      </x:c>
      <x:c r="D58" s="114" t="n">
        <x:v>135000</x:v>
      </x:c>
      <x:c r="E58" s="114" t="n">
        <x:v>145000</x:v>
      </x:c>
      <x:c r="F58" s="114" t="n">
        <x:v>160000</x:v>
      </x:c>
      <x:c r="G58" s="101"/>
      <x:c r="H58" s="101"/>
    </x:row>
    <x:row r="59">
      <x:c r="A59" s="101" t="str">
        <x:v>Professional services and insurance</x:v>
      </x:c>
      <x:c r="B59" s="114" t="n">
        <x:v>80000</x:v>
      </x:c>
      <x:c r="C59" s="114" t="n">
        <x:v>75000</x:v>
      </x:c>
      <x:c r="D59" s="114" t="n">
        <x:v>80000</x:v>
      </x:c>
      <x:c r="E59" s="114" t="n">
        <x:v>90000</x:v>
      </x:c>
      <x:c r="F59" s="114" t="n">
        <x:v>100000</x:v>
      </x:c>
      <x:c r="G59" s="101"/>
      <x:c r="H59" s="101"/>
    </x:row>
    <x:row r="60">
      <x:c r="A60" s="101" t="str">
        <x:v>Utilities / connectivity - Year 1</x:v>
      </x:c>
      <x:c r="B60" s="114" t="n">
        <x:v>35000</x:v>
      </x:c>
      <x:c r="C60" s="114"/>
      <x:c r="D60" s="114"/>
      <x:c r="E60" s="114"/>
      <x:c r="F60" s="114"/>
      <x:c r="G60" s="101"/>
      <x:c r="H60" s="101"/>
    </x:row>
    <x:row r="61">
      <x:c r="A61" s="101" t="str">
        <x:v>Utilities annual escalation</x:v>
      </x:c>
      <x:c r="B61" s="114" t="n">
        <x:v>0.03</x:v>
      </x:c>
      <x:c r="C61" s="114"/>
      <x:c r="D61" s="114"/>
      <x:c r="E61" s="114"/>
      <x:c r="F61" s="114"/>
      <x:c r="G61" s="101"/>
      <x:c r="H61" s="101"/>
    </x:row>
    <x:row r="62">
      <x:c r="A62" s="101" t="str">
        <x:v>General and administrative</x:v>
      </x:c>
      <x:c r="B62" s="114" t="n">
        <x:v>55000</x:v>
      </x:c>
      <x:c r="C62" s="114" t="n">
        <x:v>60000</x:v>
      </x:c>
      <x:c r="D62" s="114" t="n">
        <x:v>65000</x:v>
      </x:c>
      <x:c r="E62" s="114" t="n">
        <x:v>70000</x:v>
      </x:c>
      <x:c r="F62" s="114" t="n">
        <x:v>80000</x:v>
      </x:c>
      <x:c r="G62" s="101"/>
      <x:c r="H62" s="101"/>
    </x:row>
    <x:row r="63">
      <x:c r="A63" s="101" t="str">
        <x:v>Platform / compliance fixed cost (gated)</x:v>
      </x:c>
      <x:c r="B63" s="114" t="n">
        <x:v>0</x:v>
      </x:c>
      <x:c r="C63" s="114" t="n">
        <x:v>0</x:v>
      </x:c>
      <x:c r="D63" s="114" t="n">
        <x:v>100000</x:v>
      </x:c>
      <x:c r="E63" s="114" t="n">
        <x:v>160000</x:v>
      </x:c>
      <x:c r="F63" s="114" t="n">
        <x:v>220000</x:v>
      </x:c>
      <x:c r="G63" s="101"/>
      <x:c r="H63" s="101"/>
    </x:row>
    <x:row r="64">
      <x:c r="A64" s="101" t="str">
        <x:v>Depreciation life (years)</x:v>
      </x:c>
      <x:c r="B64" s="122" t="n">
        <x:v>5</x:v>
      </x:c>
      <x:c r="C64" s="122"/>
      <x:c r="D64" s="122"/>
      <x:c r="E64" s="122"/>
      <x:c r="F64" s="122"/>
      <x:c r="G64" s="101"/>
      <x:c r="H64" s="101"/>
    </x:row>
    <x:row r="65">
      <x:c r="A65" s="101" t="str">
        <x:v>Maintenance capex (% revenue)</x:v>
      </x:c>
      <x:c r="B65" s="116" t="n">
        <x:v>0.015</x:v>
      </x:c>
      <x:c r="C65" s="116"/>
      <x:c r="D65" s="116"/>
      <x:c r="E65" s="116"/>
      <x:c r="F65" s="116"/>
      <x:c r="G65" s="101"/>
      <x:c r="H65" s="101"/>
    </x:row>
    <x:row r="66">
      <x:c r="A66" s="101" t="str">
        <x:v>Net working capital (% revenue)</x:v>
      </x:c>
      <x:c r="B66" s="116" t="n">
        <x:v>0.02</x:v>
      </x:c>
      <x:c r="C66" s="116"/>
      <x:c r="D66" s="116"/>
      <x:c r="E66" s="116"/>
      <x:c r="F66" s="116"/>
      <x:c r="G66" s="101"/>
      <x:c r="H66" s="101"/>
    </x:row>
    <x:row r="67">
      <x:c r="A67" s="101" t="str">
        <x:v>Simplified cash tax rate</x:v>
      </x:c>
      <x:c r="B67" s="116" t="n">
        <x:v>0.25</x:v>
      </x:c>
      <x:c r="C67" s="116"/>
      <x:c r="D67" s="116"/>
      <x:c r="E67" s="116"/>
      <x:c r="F67" s="116"/>
      <x:c r="G67" s="101"/>
      <x:c r="H67" s="101"/>
    </x:row>
    <x:row r="68">
      <x:c r="A68" s="101"/>
      <x:c r="B68" s="101"/>
      <x:c r="C68" s="101"/>
      <x:c r="D68" s="101"/>
      <x:c r="E68" s="101"/>
      <x:c r="F68" s="101"/>
      <x:c r="G68" s="101"/>
      <x:c r="H68" s="101"/>
    </x:row>
    <x:row r="69" ht="22" customHeight="1">
      <x:c r="A69" s="8" t="str">
        <x:v>Scenario multipliers</x:v>
      </x:c>
      <x:c r="B69" s="8"/>
      <x:c r="C69" s="8"/>
      <x:c r="D69" s="8"/>
      <x:c r="E69" s="8"/>
      <x:c r="F69" s="8"/>
      <x:c r="G69" s="8"/>
      <x:c r="H69" s="8"/>
    </x:row>
    <x:row r="70" ht="25" customHeight="1">
      <x:c r="A70" s="20" t="str">
        <x:v>Driver</x:v>
      </x:c>
      <x:c r="B70" s="21" t="str">
        <x:v>Downside</x:v>
      </x:c>
      <x:c r="C70" s="21" t="str">
        <x:v>Base</x:v>
      </x:c>
      <x:c r="D70" s="22" t="str">
        <x:v>Upside</x:v>
      </x:c>
      <x:c r="E70" s="101"/>
      <x:c r="F70" s="101"/>
      <x:c r="G70" s="101"/>
      <x:c r="H70" s="101"/>
    </x:row>
    <x:row r="71">
      <x:c r="A71" s="101" t="str">
        <x:v>Utilization factor</x:v>
      </x:c>
      <x:c r="B71" s="123" t="n">
        <x:v>0.75</x:v>
      </x:c>
      <x:c r="C71" s="123" t="n">
        <x:v>1</x:v>
      </x:c>
      <x:c r="D71" s="123" t="n">
        <x:v>1.15</x:v>
      </x:c>
      <x:c r="E71" s="101"/>
      <x:c r="F71" s="101"/>
      <x:c r="G71" s="101"/>
      <x:c r="H71" s="101"/>
    </x:row>
    <x:row r="72">
      <x:c r="A72" s="101" t="str">
        <x:v>Price factor</x:v>
      </x:c>
      <x:c r="B72" s="123" t="n">
        <x:v>0.9</x:v>
      </x:c>
      <x:c r="C72" s="123" t="n">
        <x:v>1</x:v>
      </x:c>
      <x:c r="D72" s="123" t="n">
        <x:v>1.05</x:v>
      </x:c>
      <x:c r="E72" s="101"/>
      <x:c r="F72" s="101"/>
      <x:c r="G72" s="101"/>
      <x:c r="H72" s="101"/>
    </x:row>
    <x:row r="73">
      <x:c r="A73" s="101" t="str">
        <x:v>Member / event factor</x:v>
      </x:c>
      <x:c r="B73" s="123" t="n">
        <x:v>0.7</x:v>
      </x:c>
      <x:c r="C73" s="123" t="n">
        <x:v>1</x:v>
      </x:c>
      <x:c r="D73" s="123" t="n">
        <x:v>1.25</x:v>
      </x:c>
      <x:c r="E73" s="101"/>
      <x:c r="F73" s="101"/>
      <x:c r="G73" s="101"/>
      <x:c r="H73" s="101"/>
    </x:row>
    <x:row r="74">
      <x:c r="A74" s="101" t="str">
        <x:v>Operating cost factor</x:v>
      </x:c>
      <x:c r="B74" s="123" t="n">
        <x:v>1.08</x:v>
      </x:c>
      <x:c r="C74" s="123" t="n">
        <x:v>1</x:v>
      </x:c>
      <x:c r="D74" s="123" t="n">
        <x:v>1.05</x:v>
      </x:c>
      <x:c r="E74" s="101"/>
      <x:c r="F74" s="101"/>
      <x:c r="G74" s="101"/>
      <x:c r="H74" s="101"/>
    </x:row>
    <x:row r="75">
      <x:c r="A75" s="101" t="str">
        <x:v>Opening capex factor</x:v>
      </x:c>
      <x:c r="B75" s="123" t="n">
        <x:v>1.15</x:v>
      </x:c>
      <x:c r="C75" s="123" t="n">
        <x:v>1</x:v>
      </x:c>
      <x:c r="D75" s="123" t="n">
        <x:v>0.95</x:v>
      </x:c>
      <x:c r="E75" s="101"/>
      <x:c r="F75" s="101"/>
      <x:c r="G75" s="101"/>
      <x:c r="H75" s="101"/>
    </x:row>
    <x:row r="76">
      <x:c r="A76" s="101"/>
      <x:c r="B76" s="101"/>
      <x:c r="C76" s="101"/>
      <x:c r="D76" s="101"/>
      <x:c r="E76" s="101"/>
      <x:c r="F76" s="101"/>
      <x:c r="G76" s="101"/>
      <x:c r="H76" s="101"/>
    </x:row>
    <x:row r="77" ht="22" customHeight="1">
      <x:c r="A77" s="8" t="str">
        <x:v>Illustrative ten-store rollout</x:v>
      </x:c>
      <x:c r="B77" s="8"/>
      <x:c r="C77" s="8"/>
      <x:c r="D77" s="8"/>
      <x:c r="E77" s="8"/>
      <x:c r="F77" s="8"/>
      <x:c r="G77" s="8"/>
      <x:c r="H77" s="8"/>
    </x:row>
    <x:row r="78" ht="25" customHeight="1">
      <x:c r="A78" s="20" t="str">
        <x:v>Driver</x:v>
      </x:c>
      <x:c r="B78" s="21" t="str">
        <x:v>Year 1</x:v>
      </x:c>
      <x:c r="C78" s="21" t="str">
        <x:v>Year 2</x:v>
      </x:c>
      <x:c r="D78" s="21" t="str">
        <x:v>Year 3</x:v>
      </x:c>
      <x:c r="E78" s="21" t="str">
        <x:v>Year 4</x:v>
      </x:c>
      <x:c r="F78" s="21" t="str">
        <x:v>Year 5</x:v>
      </x:c>
      <x:c r="G78" s="21" t="str">
        <x:v>Year 6</x:v>
      </x:c>
      <x:c r="H78" s="22" t="str">
        <x:v>Year 7</x:v>
      </x:c>
    </x:row>
    <x:row r="79">
      <x:c r="A79" s="101" t="str">
        <x:v>New stores opened</x:v>
      </x:c>
      <x:c r="B79" s="121" t="n">
        <x:v>1</x:v>
      </x:c>
      <x:c r="C79" s="121" t="n">
        <x:v>0</x:v>
      </x:c>
      <x:c r="D79" s="121" t="n">
        <x:v>0</x:v>
      </x:c>
      <x:c r="E79" s="121" t="n">
        <x:v>1</x:v>
      </x:c>
      <x:c r="F79" s="121" t="n">
        <x:v>2</x:v>
      </x:c>
      <x:c r="G79" s="121" t="n">
        <x:v>3</x:v>
      </x:c>
      <x:c r="H79" s="121" t="n">
        <x:v>3</x:v>
      </x:c>
    </x:row>
    <x:row r="80">
      <x:c r="A80" s="101" t="str">
        <x:v>Repeat-store opening capex</x:v>
      </x:c>
      <x:c r="B80" s="114" t="n">
        <x:v>1000000</x:v>
      </x:c>
      <x:c r="C80" s="114"/>
      <x:c r="D80" s="114"/>
      <x:c r="E80" s="114"/>
      <x:c r="F80" s="114"/>
      <x:c r="G80" s="114"/>
      <x:c r="H80" s="114"/>
    </x:row>
    <x:row r="81">
      <x:c r="A81" s="101" t="str">
        <x:v>Central platform / corporate opex</x:v>
      </x:c>
      <x:c r="B81" s="114" t="n">
        <x:v>0</x:v>
      </x:c>
      <x:c r="C81" s="114" t="n">
        <x:v>0</x:v>
      </x:c>
      <x:c r="D81" s="114" t="n">
        <x:v>250000</x:v>
      </x:c>
      <x:c r="E81" s="114" t="n">
        <x:v>450000</x:v>
      </x:c>
      <x:c r="F81" s="114" t="n">
        <x:v>850000</x:v>
      </x:c>
      <x:c r="G81" s="114" t="n">
        <x:v>1500000</x:v>
      </x:c>
      <x:c r="H81" s="114" t="n">
        <x:v>2200000</x:v>
      </x:c>
    </x:row>
  </x:sheetData>
  <x:mergeCells>
    <x:mergeCell ref="A1:H1"/>
    <x:mergeCell ref="A2:H2"/>
    <x:mergeCell ref="A8:H8"/>
    <x:mergeCell ref="A16:H16"/>
    <x:mergeCell ref="A22:H22"/>
    <x:mergeCell ref="A33:H33"/>
    <x:mergeCell ref="A43:H43"/>
    <x:mergeCell ref="A55:H55"/>
    <x:mergeCell ref="A69:H69"/>
    <x:mergeCell ref="A77:H77"/>
  </x:mergeCells>
  <x:pageMargins left="0.7" right="0.7" top="0.75" bottom="0.75" header="0.3" footer="0.3"/>
  <x:legacyDrawing xmlns:r="http://schemas.openxmlformats.org/officeDocument/2006/relationships" r:id="Rd845fef73e9544e7"/>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15" hidden="0" customWidth="1"/>
    <x:col min="4" max="4" width="15" hidden="0" customWidth="1"/>
    <x:col min="5" max="5" width="15" hidden="0" customWidth="1"/>
    <x:col min="6" max="6" width="15" hidden="0" customWidth="1"/>
    <x:col min="7" max="7" width="16" hidden="0" customWidth="1"/>
    <x:col min="8" max="8" width="16" hidden="0" customWidth="1"/>
  </x:cols>
  <x:sheetData>
    <x:row r="1" ht="34" customHeight="1">
      <x:c r="A1" s="3" t="str">
        <x:v>Single-Store Unit Economics</x:v>
      </x:c>
      <x:c r="B1" s="3"/>
      <x:c r="C1" s="3"/>
      <x:c r="D1" s="3"/>
      <x:c r="E1" s="3"/>
      <x:c r="F1" s="3"/>
      <x:c r="G1" s="3"/>
      <x:c r="H1" s="3"/>
    </x:row>
    <x:row r="2" ht="24" customHeight="1">
      <x:c r="A2" s="102" t="str">
        <x:v>Capacity-led base case; later-phase revenue is explicitly gated</x:v>
      </x:c>
      <x:c r="B2" s="102"/>
      <x:c r="C2" s="102"/>
      <x:c r="D2" s="102"/>
      <x:c r="E2" s="102"/>
      <x:c r="F2" s="102"/>
      <x:c r="G2" s="102"/>
      <x:c r="H2" s="102"/>
    </x:row>
    <x:row r="3" ht="25" customHeight="1">
      <x:c r="A3" s="20" t="str">
        <x:v>Metric</x:v>
      </x:c>
      <x:c r="B3" s="21" t="str">
        <x:v>Year 1</x:v>
      </x:c>
      <x:c r="C3" s="21" t="str">
        <x:v>Year 2</x:v>
      </x:c>
      <x:c r="D3" s="21" t="str">
        <x:v>Year 3</x:v>
      </x:c>
      <x:c r="E3" s="21" t="str">
        <x:v>Year 4</x:v>
      </x:c>
      <x:c r="F3" s="22" t="str">
        <x:v>Year 5</x:v>
      </x:c>
      <x:c r="G3" s="101"/>
      <x:c r="H3" s="101"/>
    </x:row>
    <x:row r="4">
      <x:c r="A4" s="101"/>
      <x:c r="B4" s="101"/>
      <x:c r="C4" s="101"/>
      <x:c r="D4" s="101"/>
      <x:c r="E4" s="101"/>
      <x:c r="F4" s="101"/>
      <x:c r="G4" s="101"/>
      <x:c r="H4" s="101"/>
    </x:row>
    <x:row r="5" ht="22" customHeight="1">
      <x:c r="A5" s="8" t="str">
        <x:v>Delivery capacity</x:v>
      </x:c>
      <x:c r="B5" s="8"/>
      <x:c r="C5" s="8"/>
      <x:c r="D5" s="8"/>
      <x:c r="E5" s="8"/>
      <x:c r="F5" s="8"/>
      <x:c r="G5" s="101"/>
      <x:c r="H5" s="101"/>
    </x:row>
    <x:row r="6">
      <x:c r="A6" s="101" t="str">
        <x:v>Delivery FTE</x:v>
      </x:c>
      <x:c r="B6" s="124" t="n">
        <x:f>'Assumptions'!$B$17</x:f>
        <x:v>5</x:v>
      </x:c>
      <x:c r="C6" s="124" t="n">
        <x:f>'Assumptions'!$B$17</x:f>
        <x:v>5</x:v>
      </x:c>
      <x:c r="D6" s="124" t="n">
        <x:f>'Assumptions'!$B$17</x:f>
        <x:v>5</x:v>
      </x:c>
      <x:c r="E6" s="124" t="n">
        <x:f>'Assumptions'!$B$17</x:f>
        <x:v>5</x:v>
      </x:c>
      <x:c r="F6" s="124" t="n">
        <x:f>'Assumptions'!$B$17</x:f>
        <x:v>5</x:v>
      </x:c>
      <x:c r="G6" s="101"/>
      <x:c r="H6" s="101"/>
    </x:row>
    <x:row r="7">
      <x:c r="A7" s="101" t="str">
        <x:v>Available client hours / FTE</x:v>
      </x:c>
      <x:c r="B7" s="124" t="n">
        <x:f>'Assumptions'!$B$18</x:f>
        <x:v>1450</x:v>
      </x:c>
      <x:c r="C7" s="124" t="n">
        <x:f>'Assumptions'!$B$18</x:f>
        <x:v>1450</x:v>
      </x:c>
      <x:c r="D7" s="124" t="n">
        <x:f>'Assumptions'!$B$18</x:f>
        <x:v>1450</x:v>
      </x:c>
      <x:c r="E7" s="124" t="n">
        <x:f>'Assumptions'!$B$18</x:f>
        <x:v>1450</x:v>
      </x:c>
      <x:c r="F7" s="124" t="n">
        <x:f>'Assumptions'!$B$18</x:f>
        <x:v>1450</x:v>
      </x:c>
      <x:c r="G7" s="101"/>
      <x:c r="H7" s="101"/>
    </x:row>
    <x:row r="8">
      <x:c r="A8" s="101" t="str">
        <x:v>Total client-hour capacity</x:v>
      </x:c>
      <x:c r="B8" s="125" t="n">
        <x:f>B6*B7</x:f>
        <x:v>7250</x:v>
      </x:c>
      <x:c r="C8" s="125" t="n">
        <x:f>C6*C7</x:f>
        <x:v>7250</x:v>
      </x:c>
      <x:c r="D8" s="125" t="n">
        <x:f>D6*D7</x:f>
        <x:v>7250</x:v>
      </x:c>
      <x:c r="E8" s="125" t="n">
        <x:f>E6*E7</x:f>
        <x:v>7250</x:v>
      </x:c>
      <x:c r="F8" s="125" t="n">
        <x:f>F6*F7</x:f>
        <x:v>7250</x:v>
      </x:c>
      <x:c r="G8" s="101"/>
      <x:c r="H8" s="101"/>
    </x:row>
    <x:row r="9">
      <x:c r="A9" s="101" t="str">
        <x:v>Paid utilization</x:v>
      </x:c>
      <x:c r="B9" s="126" t="n">
        <x:f>'Assumptions'!B20</x:f>
        <x:v>0.38</x:v>
      </x:c>
      <x:c r="C9" s="126" t="n">
        <x:f>'Assumptions'!C20</x:f>
        <x:v>0.52</x:v>
      </x:c>
      <x:c r="D9" s="126" t="n">
        <x:f>'Assumptions'!D20</x:f>
        <x:v>0.65</x:v>
      </x:c>
      <x:c r="E9" s="126" t="n">
        <x:f>'Assumptions'!E20</x:f>
        <x:v>0.75</x:v>
      </x:c>
      <x:c r="F9" s="126" t="n">
        <x:f>'Assumptions'!F20</x:f>
        <x:v>0.82</x:v>
      </x:c>
      <x:c r="G9" s="101"/>
      <x:c r="H9" s="101"/>
    </x:row>
    <x:row r="10">
      <x:c r="A10" s="101" t="str">
        <x:v>Paid delivery hours</x:v>
      </x:c>
      <x:c r="B10" s="125" t="n">
        <x:f>B8*B9</x:f>
        <x:v>2755</x:v>
      </x:c>
      <x:c r="C10" s="125" t="n">
        <x:f>C8*C9</x:f>
        <x:v>3770</x:v>
      </x:c>
      <x:c r="D10" s="125" t="n">
        <x:f>D8*D9</x:f>
        <x:v>4712.5</x:v>
      </x:c>
      <x:c r="E10" s="125" t="n">
        <x:f>E8*E9</x:f>
        <x:v>5437.5</x:v>
      </x:c>
      <x:c r="F10" s="125" t="n">
        <x:f>F8*F9</x:f>
        <x:v>5945</x:v>
      </x:c>
      <x:c r="G10" s="101"/>
      <x:c r="H10" s="101"/>
    </x:row>
    <x:row r="11">
      <x:c r="A11" s="101"/>
      <x:c r="B11" s="101"/>
      <x:c r="C11" s="101"/>
      <x:c r="D11" s="101"/>
      <x:c r="E11" s="101"/>
      <x:c r="F11" s="101"/>
      <x:c r="G11" s="101"/>
      <x:c r="H11" s="101"/>
    </x:row>
    <x:row r="12" ht="22" customHeight="1">
      <x:c r="A12" s="8" t="str">
        <x:v>Service engagements</x:v>
      </x:c>
      <x:c r="B12" s="8"/>
      <x:c r="C12" s="8"/>
      <x:c r="D12" s="8"/>
      <x:c r="E12" s="8"/>
      <x:c r="F12" s="8"/>
      <x:c r="G12" s="101"/>
      <x:c r="H12" s="101"/>
    </x:row>
    <x:row r="13">
      <x:c r="A13" s="101" t="str">
        <x:v>Quick Diagnostic engagements</x:v>
      </x:c>
      <x:c r="B13" s="125" t="n">
        <x:f>B$10*'Assumptions'!$D$10/'Assumptions'!$C$10</x:f>
        <x:v>413.25</x:v>
      </x:c>
      <x:c r="C13" s="125" t="n">
        <x:f>C$10*'Assumptions'!$D$10/'Assumptions'!$C$10</x:f>
        <x:v>565.5</x:v>
      </x:c>
      <x:c r="D13" s="125" t="n">
        <x:f>D$10*'Assumptions'!$D$10/'Assumptions'!$C$10</x:f>
        <x:v>706.875</x:v>
      </x:c>
      <x:c r="E13" s="125" t="n">
        <x:f>E$10*'Assumptions'!$D$10/'Assumptions'!$C$10</x:f>
        <x:v>815.625</x:v>
      </x:c>
      <x:c r="F13" s="125" t="n">
        <x:f>F$10*'Assumptions'!$D$10/'Assumptions'!$C$10</x:f>
        <x:v>891.75</x:v>
      </x:c>
      <x:c r="G13" s="101"/>
      <x:c r="H13" s="101"/>
    </x:row>
    <x:row r="14">
      <x:c r="A14" s="101" t="str">
        <x:v>Idea Sprint engagements</x:v>
      </x:c>
      <x:c r="B14" s="125" t="n">
        <x:f>B$10*'Assumptions'!$D$11/'Assumptions'!$C$11</x:f>
        <x:v>241.06249999999997</x:v>
      </x:c>
      <x:c r="C14" s="125" t="n">
        <x:f>C$10*'Assumptions'!$D$11/'Assumptions'!$C$11</x:f>
        <x:v>329.875</x:v>
      </x:c>
      <x:c r="D14" s="125" t="n">
        <x:f>D$10*'Assumptions'!$D$11/'Assumptions'!$C$11</x:f>
        <x:v>412.34375</x:v>
      </x:c>
      <x:c r="E14" s="125" t="n">
        <x:f>E$10*'Assumptions'!$D$11/'Assumptions'!$C$11</x:f>
        <x:v>475.78124999999994</x:v>
      </x:c>
      <x:c r="F14" s="125" t="n">
        <x:f>F$10*'Assumptions'!$D$11/'Assumptions'!$C$11</x:f>
        <x:v>520.1875</x:v>
      </x:c>
      <x:c r="G14" s="101"/>
      <x:c r="H14" s="101"/>
    </x:row>
    <x:row r="15">
      <x:c r="A15" s="101" t="str">
        <x:v>Venture Build engagements</x:v>
      </x:c>
      <x:c r="B15" s="125" t="n">
        <x:f>B$10*'Assumptions'!$D$12/'Assumptions'!$C$12</x:f>
        <x:v>44.08</x:v>
      </x:c>
      <x:c r="C15" s="125" t="n">
        <x:f>C$10*'Assumptions'!$D$12/'Assumptions'!$C$12</x:f>
        <x:v>60.32000000000001</x:v>
      </x:c>
      <x:c r="D15" s="125" t="n">
        <x:f>D$10*'Assumptions'!$D$12/'Assumptions'!$C$12</x:f>
        <x:v>75.4</x:v>
      </x:c>
      <x:c r="E15" s="125" t="n">
        <x:f>E$10*'Assumptions'!$D$12/'Assumptions'!$C$12</x:f>
        <x:v>87</x:v>
      </x:c>
      <x:c r="F15" s="125" t="n">
        <x:f>F$10*'Assumptions'!$D$12/'Assumptions'!$C$12</x:f>
        <x:v>95.12</x:v>
      </x:c>
      <x:c r="G15" s="101"/>
      <x:c r="H15" s="101"/>
    </x:row>
    <x:row r="16">
      <x:c r="A16" s="101" t="str">
        <x:v>Launch Studio engagements</x:v>
      </x:c>
      <x:c r="B16" s="125" t="n">
        <x:f>B$10*'Assumptions'!$D$13/'Assumptions'!$C$13</x:f>
        <x:v>8.264999999999999</x:v>
      </x:c>
      <x:c r="C16" s="125" t="n">
        <x:f>C$10*'Assumptions'!$D$13/'Assumptions'!$C$13</x:f>
        <x:v>11.31</x:v>
      </x:c>
      <x:c r="D16" s="125" t="n">
        <x:f>D$10*'Assumptions'!$D$13/'Assumptions'!$C$13</x:f>
        <x:v>14.1375</x:v>
      </x:c>
      <x:c r="E16" s="125" t="n">
        <x:f>E$10*'Assumptions'!$D$13/'Assumptions'!$C$13</x:f>
        <x:v>16.3125</x:v>
      </x:c>
      <x:c r="F16" s="125" t="n">
        <x:f>F$10*'Assumptions'!$D$13/'Assumptions'!$C$13</x:f>
        <x:v>17.834999999999997</x:v>
      </x:c>
      <x:c r="G16" s="101"/>
      <x:c r="H16" s="101"/>
    </x:row>
    <x:row r="17">
      <x:c r="A17" s="117" t="str">
        <x:v>Total service engagements</x:v>
      </x:c>
      <x:c r="B17" s="127" t="n">
        <x:f>SUM(B13:B16)</x:f>
        <x:v>706.6575</x:v>
      </x:c>
      <x:c r="C17" s="127" t="n">
        <x:f>SUM(C13:C16)</x:f>
        <x:v>967.005</x:v>
      </x:c>
      <x:c r="D17" s="127" t="n">
        <x:f>SUM(D13:D16)</x:f>
        <x:v>1208.7562500000001</x:v>
      </x:c>
      <x:c r="E17" s="127" t="n">
        <x:f>SUM(E13:E16)</x:f>
        <x:v>1394.71875</x:v>
      </x:c>
      <x:c r="F17" s="127" t="n">
        <x:f>SUM(F13:F16)</x:f>
        <x:v>1524.8925</x:v>
      </x:c>
      <x:c r="G17" s="101"/>
      <x:c r="H17" s="101"/>
    </x:row>
    <x:row r="18">
      <x:c r="A18" s="101"/>
      <x:c r="B18" s="101"/>
      <x:c r="C18" s="101"/>
      <x:c r="D18" s="101"/>
      <x:c r="E18" s="101"/>
      <x:c r="F18" s="101"/>
      <x:c r="G18" s="101"/>
      <x:c r="H18" s="101"/>
    </x:row>
    <x:row r="19" ht="22" customHeight="1">
      <x:c r="A19" s="8" t="str">
        <x:v>Revenue</x:v>
      </x:c>
      <x:c r="B19" s="8"/>
      <x:c r="C19" s="8"/>
      <x:c r="D19" s="8"/>
      <x:c r="E19" s="8"/>
      <x:c r="F19" s="8"/>
      <x:c r="G19" s="101"/>
      <x:c r="H19" s="101"/>
    </x:row>
    <x:row r="20">
      <x:c r="A20" s="101" t="str">
        <x:v>Quick Diagnostic</x:v>
      </x:c>
      <x:c r="B20" s="104" t="n">
        <x:f>B13*'Assumptions'!$B$10</x:f>
        <x:v>40911.75</x:v>
      </x:c>
      <x:c r="C20" s="104" t="n">
        <x:f>C13*'Assumptions'!$B$10</x:f>
        <x:v>55984.5</x:v>
      </x:c>
      <x:c r="D20" s="104" t="n">
        <x:f>D13*'Assumptions'!$B$10</x:f>
        <x:v>69980.625</x:v>
      </x:c>
      <x:c r="E20" s="104" t="n">
        <x:f>E13*'Assumptions'!$B$10</x:f>
        <x:v>80746.875</x:v>
      </x:c>
      <x:c r="F20" s="104" t="n">
        <x:f>F13*'Assumptions'!$B$10</x:f>
        <x:v>88283.25</x:v>
      </x:c>
      <x:c r="G20" s="101"/>
      <x:c r="H20" s="101"/>
    </x:row>
    <x:row r="21">
      <x:c r="A21" s="101" t="str">
        <x:v>Idea Sprint</x:v>
      </x:c>
      <x:c r="B21" s="104" t="n">
        <x:f>B14*'Assumptions'!$B$11</x:f>
        <x:v>156449.56249999997</x:v>
      </x:c>
      <x:c r="C21" s="104" t="n">
        <x:f>C14*'Assumptions'!$B$11</x:f>
        <x:v>214088.875</x:v>
      </x:c>
      <x:c r="D21" s="104" t="n">
        <x:f>D14*'Assumptions'!$B$11</x:f>
        <x:v>267611.09375</x:v>
      </x:c>
      <x:c r="E21" s="104" t="n">
        <x:f>E14*'Assumptions'!$B$11</x:f>
        <x:v>308782.03124999994</x:v>
      </x:c>
      <x:c r="F21" s="104" t="n">
        <x:f>F14*'Assumptions'!$B$11</x:f>
        <x:v>337601.6875</x:v>
      </x:c>
      <x:c r="G21" s="101"/>
      <x:c r="H21" s="101"/>
    </x:row>
    <x:row r="22">
      <x:c r="A22" s="101" t="str">
        <x:v>Venture Build</x:v>
      </x:c>
      <x:c r="B22" s="104" t="n">
        <x:f>B15*'Assumptions'!$B$12</x:f>
        <x:v>165300</x:v>
      </x:c>
      <x:c r="C22" s="104" t="n">
        <x:f>C15*'Assumptions'!$B$12</x:f>
        <x:v>226200.00000000003</x:v>
      </x:c>
      <x:c r="D22" s="104" t="n">
        <x:f>D15*'Assumptions'!$B$12</x:f>
        <x:v>282750</x:v>
      </x:c>
      <x:c r="E22" s="104" t="n">
        <x:f>E15*'Assumptions'!$B$12</x:f>
        <x:v>326250</x:v>
      </x:c>
      <x:c r="F22" s="104" t="n">
        <x:f>F15*'Assumptions'!$B$12</x:f>
        <x:v>356700</x:v>
      </x:c>
      <x:c r="G22" s="101"/>
      <x:c r="H22" s="101"/>
    </x:row>
    <x:row r="23">
      <x:c r="A23" s="101" t="str">
        <x:v>Launch Studio</x:v>
      </x:c>
      <x:c r="B23" s="104" t="n">
        <x:f>B16*'Assumptions'!$B$13</x:f>
        <x:v>103312.49999999999</x:v>
      </x:c>
      <x:c r="C23" s="104" t="n">
        <x:f>C16*'Assumptions'!$B$13</x:f>
        <x:v>141375</x:v>
      </x:c>
      <x:c r="D23" s="104" t="n">
        <x:f>D16*'Assumptions'!$B$13</x:f>
        <x:v>176718.75</x:v>
      </x:c>
      <x:c r="E23" s="104" t="n">
        <x:f>E16*'Assumptions'!$B$13</x:f>
        <x:v>203906.25</x:v>
      </x:c>
      <x:c r="F23" s="104" t="n">
        <x:f>F16*'Assumptions'!$B$13</x:f>
        <x:v>222937.49999999997</x:v>
      </x:c>
      <x:c r="G23" s="101"/>
      <x:c r="H23" s="101"/>
    </x:row>
    <x:row r="24">
      <x:c r="A24" s="117" t="str">
        <x:v>Total service revenue</x:v>
      </x:c>
      <x:c r="B24" s="119" t="n">
        <x:f>SUM(B20:B23)</x:f>
        <x:v>465973.8125</x:v>
      </x:c>
      <x:c r="C24" s="119" t="n">
        <x:f>SUM(C20:C23)</x:f>
        <x:v>637648.375</x:v>
      </x:c>
      <x:c r="D24" s="119" t="n">
        <x:f>SUM(D20:D23)</x:f>
        <x:v>797060.46875</x:v>
      </x:c>
      <x:c r="E24" s="119" t="n">
        <x:f>SUM(E20:E23)</x:f>
        <x:v>919685.15625</x:v>
      </x:c>
      <x:c r="F24" s="119" t="n">
        <x:f>SUM(F20:F23)</x:f>
        <x:v>1005522.4375</x:v>
      </x:c>
      <x:c r="G24" s="101"/>
      <x:c r="H24" s="101"/>
    </x:row>
    <x:row r="25">
      <x:c r="A25" s="101" t="str">
        <x:v>Founder memberships</x:v>
      </x:c>
      <x:c r="B25" s="128" t="n">
        <x:f>'Assumptions'!B25*'Assumptions'!$B$24*12</x:f>
        <x:v>130680</x:v>
      </x:c>
      <x:c r="C25" s="128" t="n">
        <x:f>'Assumptions'!C25*'Assumptions'!$B$24*12</x:f>
        <x:v>213840</x:v>
      </x:c>
      <x:c r="D25" s="128" t="n">
        <x:f>'Assumptions'!D25*'Assumptions'!$B$24*12</x:f>
        <x:v>308880</x:v>
      </x:c>
      <x:c r="E25" s="128" t="n">
        <x:f>'Assumptions'!E25*'Assumptions'!$B$24*12</x:f>
        <x:v>403920</x:v>
      </x:c>
      <x:c r="F25" s="128" t="n">
        <x:f>'Assumptions'!F25*'Assumptions'!$B$24*12</x:f>
        <x:v>498960</x:v>
      </x:c>
      <x:c r="G25" s="101"/>
      <x:c r="H25" s="101"/>
    </x:row>
    <x:row r="26">
      <x:c r="A26" s="101" t="str">
        <x:v>Lab / prototype add-ons</x:v>
      </x:c>
      <x:c r="B26" s="128" t="n">
        <x:f>B24*'Assumptions'!$B$27</x:f>
        <x:v>37277.905</x:v>
      </x:c>
      <x:c r="C26" s="128" t="n">
        <x:f>C24*'Assumptions'!$B$27</x:f>
        <x:v>51011.87</x:v>
      </x:c>
      <x:c r="D26" s="128" t="n">
        <x:f>D24*'Assumptions'!$B$27</x:f>
        <x:v>63764.8375</x:v>
      </x:c>
      <x:c r="E26" s="128" t="n">
        <x:f>E24*'Assumptions'!$B$27</x:f>
        <x:v>73574.8125</x:v>
      </x:c>
      <x:c r="F26" s="128" t="n">
        <x:f>F24*'Assumptions'!$B$27</x:f>
        <x:v>80441.795</x:v>
      </x:c>
      <x:c r="G26" s="101"/>
      <x:c r="H26" s="101"/>
    </x:row>
    <x:row r="27">
      <x:c r="A27" s="101" t="str">
        <x:v>Events and private workshops</x:v>
      </x:c>
      <x:c r="B27" s="128" t="n">
        <x:f>'Assumptions'!B26</x:f>
        <x:v>40000</x:v>
      </x:c>
      <x:c r="C27" s="128" t="n">
        <x:f>'Assumptions'!C26</x:f>
        <x:v>65000</x:v>
      </x:c>
      <x:c r="D27" s="128" t="n">
        <x:f>'Assumptions'!D26</x:f>
        <x:v>90000</x:v>
      </x:c>
      <x:c r="E27" s="128" t="n">
        <x:f>'Assumptions'!E26</x:f>
        <x:v>110000</x:v>
      </x:c>
      <x:c r="F27" s="128" t="n">
        <x:f>'Assumptions'!F26</x:f>
        <x:v>125000</x:v>
      </x:c>
      <x:c r="G27" s="101"/>
      <x:c r="H27" s="101"/>
    </x:row>
    <x:row r="28">
      <x:c r="A28" s="101" t="str">
        <x:v>Rewards crowdfunding fees (gated)</x:v>
      </x:c>
      <x:c r="B28" s="128" t="n">
        <x:f>'Assumptions'!B28*'Assumptions'!$B$29</x:f>
        <x:v>0</x:v>
      </x:c>
      <x:c r="C28" s="128" t="n">
        <x:f>'Assumptions'!C28*'Assumptions'!$B$29</x:f>
        <x:v>0</x:v>
      </x:c>
      <x:c r="D28" s="128" t="n">
        <x:f>'Assumptions'!D28*'Assumptions'!$B$29</x:f>
        <x:v>30000</x:v>
      </x:c>
      <x:c r="E28" s="128" t="n">
        <x:f>'Assumptions'!E28*'Assumptions'!$B$29</x:f>
        <x:v>90000</x:v>
      </x:c>
      <x:c r="F28" s="128" t="n">
        <x:f>'Assumptions'!F28*'Assumptions'!$B$29</x:f>
        <x:v>150000</x:v>
      </x:c>
      <x:c r="G28" s="101"/>
      <x:c r="H28" s="101"/>
    </x:row>
    <x:row r="29">
      <x:c r="A29" s="101" t="str">
        <x:v>Investor memberships (gated)</x:v>
      </x:c>
      <x:c r="B29" s="128" t="n">
        <x:f>'Assumptions'!B30*'Assumptions'!$B$31</x:f>
        <x:v>0</x:v>
      </x:c>
      <x:c r="C29" s="128" t="n">
        <x:f>'Assumptions'!C30*'Assumptions'!$B$31</x:f>
        <x:v>0</x:v>
      </x:c>
      <x:c r="D29" s="128" t="n">
        <x:f>'Assumptions'!D30*'Assumptions'!$B$31</x:f>
        <x:v>0</x:v>
      </x:c>
      <x:c r="E29" s="128" t="n">
        <x:f>'Assumptions'!E30*'Assumptions'!$B$31</x:f>
        <x:v>75000</x:v>
      </x:c>
      <x:c r="F29" s="128" t="n">
        <x:f>'Assumptions'!F30*'Assumptions'!$B$31</x:f>
        <x:v>150000</x:v>
      </x:c>
      <x:c r="G29" s="101"/>
      <x:c r="H29" s="101"/>
    </x:row>
    <x:row r="30">
      <x:c r="A30" s="129" t="str">
        <x:v>Total revenue</x:v>
      </x:c>
      <x:c r="B30" s="130" t="n">
        <x:f>SUM(B24:B29)</x:f>
        <x:v>673931.7175</x:v>
      </x:c>
      <x:c r="C30" s="130" t="n">
        <x:f>SUM(C24:C29)</x:f>
        <x:v>967500.245</x:v>
      </x:c>
      <x:c r="D30" s="130" t="n">
        <x:f>SUM(D24:D29)</x:f>
        <x:v>1289705.30625</x:v>
      </x:c>
      <x:c r="E30" s="130" t="n">
        <x:f>SUM(E24:E29)</x:f>
        <x:v>1672179.96875</x:v>
      </x:c>
      <x:c r="F30" s="130" t="n">
        <x:f>SUM(F24:F29)</x:f>
        <x:v>2009924.2325</x:v>
      </x:c>
      <x:c r="G30" s="101"/>
      <x:c r="H30" s="101"/>
    </x:row>
    <x:row r="31">
      <x:c r="A31" s="101"/>
      <x:c r="B31" s="101"/>
      <x:c r="C31" s="101"/>
      <x:c r="D31" s="101"/>
      <x:c r="E31" s="101"/>
      <x:c r="F31" s="101"/>
      <x:c r="G31" s="101"/>
      <x:c r="H31" s="101"/>
    </x:row>
    <x:row r="32" ht="22" customHeight="1">
      <x:c r="A32" s="8" t="str">
        <x:v>Operating KPIs</x:v>
      </x:c>
      <x:c r="B32" s="8"/>
      <x:c r="C32" s="8"/>
      <x:c r="D32" s="8"/>
      <x:c r="E32" s="8"/>
      <x:c r="F32" s="8"/>
      <x:c r="G32" s="101"/>
      <x:c r="H32" s="101"/>
    </x:row>
    <x:row r="33">
      <x:c r="A33" s="101" t="str">
        <x:v>Service revenue / paid client hour</x:v>
      </x:c>
      <x:c r="B33" s="104" t="n">
        <x:f>B24/B10</x:f>
        <x:v>169.1375</x:v>
      </x:c>
      <x:c r="C33" s="104" t="n">
        <x:f>C24/C10</x:f>
        <x:v>169.1375</x:v>
      </x:c>
      <x:c r="D33" s="104" t="n">
        <x:f>D24/D10</x:f>
        <x:v>169.1375</x:v>
      </x:c>
      <x:c r="E33" s="104" t="n">
        <x:f>E24/E10</x:f>
        <x:v>169.1375</x:v>
      </x:c>
      <x:c r="F33" s="104" t="n">
        <x:f>F24/F10</x:f>
        <x:v>169.1375</x:v>
      </x:c>
      <x:c r="G33" s="101"/>
      <x:c r="H33" s="101"/>
    </x:row>
    <x:row r="34">
      <x:c r="A34" s="101" t="str">
        <x:v>Total revenue / delivery FTE</x:v>
      </x:c>
      <x:c r="B34" s="104" t="n">
        <x:f>B30/B6</x:f>
        <x:v>134786.34350000002</x:v>
      </x:c>
      <x:c r="C34" s="104" t="n">
        <x:f>C30/C6</x:f>
        <x:v>193500.049</x:v>
      </x:c>
      <x:c r="D34" s="104" t="n">
        <x:f>D30/D6</x:f>
        <x:v>257941.06124999997</x:v>
      </x:c>
      <x:c r="E34" s="104" t="n">
        <x:f>E30/E6</x:f>
        <x:v>334435.99375</x:v>
      </x:c>
      <x:c r="F34" s="104" t="n">
        <x:f>F30/F6</x:f>
        <x:v>401984.8465</x:v>
      </x:c>
      <x:c r="G34" s="101"/>
      <x:c r="H34" s="101"/>
    </x:row>
    <x:row r="35">
      <x:c r="A35" s="101" t="str">
        <x:v>Revenue / store sq. ft.</x:v>
      </x:c>
      <x:c r="B35" s="104" t="n">
        <x:f>B30/'Assumptions'!$B$44</x:f>
        <x:v>210.60366171875</x:v>
      </x:c>
      <x:c r="C35" s="104" t="n">
        <x:f>C30/'Assumptions'!$B$44</x:f>
        <x:v>302.3438265625</x:v>
      </x:c>
      <x:c r="D35" s="104" t="n">
        <x:f>D30/'Assumptions'!$B$44</x:f>
        <x:v>403.032908203125</x:v>
      </x:c>
      <x:c r="E35" s="104" t="n">
        <x:f>E30/'Assumptions'!$B$44</x:f>
        <x:v>522.556240234375</x:v>
      </x:c>
      <x:c r="F35" s="104" t="n">
        <x:f>F30/'Assumptions'!$B$44</x:f>
        <x:v>628.10132265625</x:v>
      </x:c>
      <x:c r="G35" s="101"/>
      <x:c r="H35" s="101"/>
    </x:row>
    <x:row r="36">
      <x:c r="A36" s="101" t="str">
        <x:v>Average active memberships</x:v>
      </x:c>
      <x:c r="B36" s="125" t="n">
        <x:f>'Assumptions'!B25</x:f>
        <x:v>110</x:v>
      </x:c>
      <x:c r="C36" s="125" t="n">
        <x:f>'Assumptions'!C25</x:f>
        <x:v>180</x:v>
      </x:c>
      <x:c r="D36" s="125" t="n">
        <x:f>'Assumptions'!D25</x:f>
        <x:v>260</x:v>
      </x:c>
      <x:c r="E36" s="125" t="n">
        <x:f>'Assumptions'!E25</x:f>
        <x:v>340</x:v>
      </x:c>
      <x:c r="F36" s="125" t="n">
        <x:f>'Assumptions'!F25</x:f>
        <x:v>420</x:v>
      </x:c>
      <x:c r="G36" s="101"/>
      <x:c r="H36" s="101"/>
    </x:row>
  </x:sheetData>
  <x:mergeCells>
    <x:mergeCell ref="A1:H1"/>
    <x:mergeCell ref="A2:H2"/>
    <x:mergeCell ref="A5:F5"/>
    <x:mergeCell ref="A12:F12"/>
    <x:mergeCell ref="A19:F19"/>
    <x:mergeCell ref="A32:F3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6" hidden="0" customWidth="1"/>
    <x:col min="2" max="2" width="15" hidden="0" customWidth="1"/>
    <x:col min="3" max="3" width="15" hidden="0" customWidth="1"/>
    <x:col min="4" max="4" width="15" hidden="0" customWidth="1"/>
    <x:col min="5" max="5" width="15" hidden="0" customWidth="1"/>
    <x:col min="6" max="6" width="15" hidden="0" customWidth="1"/>
    <x:col min="7" max="7" width="16" hidden="0" customWidth="1"/>
    <x:col min="8" max="8" width="16" hidden="0" customWidth="1"/>
  </x:cols>
  <x:sheetData>
    <x:row r="1" ht="34" customHeight="1">
      <x:c r="A1" s="3" t="str">
        <x:v>Five-Year Store P&amp;L</x:v>
      </x:c>
      <x:c r="B1" s="3"/>
      <x:c r="C1" s="3"/>
      <x:c r="D1" s="3"/>
      <x:c r="E1" s="3"/>
      <x:c r="F1" s="3"/>
      <x:c r="G1" s="3"/>
      <x:c r="H1" s="3"/>
    </x:row>
    <x:row r="2" ht="24" customHeight="1">
      <x:c r="A2" s="102" t="str">
        <x:v>USD | Unlevered | Simplified cash taxes; no NOL benefit modeled</x:v>
      </x:c>
      <x:c r="B2" s="102"/>
      <x:c r="C2" s="102"/>
      <x:c r="D2" s="102"/>
      <x:c r="E2" s="102"/>
      <x:c r="F2" s="102"/>
      <x:c r="G2" s="102"/>
      <x:c r="H2" s="102"/>
    </x:row>
    <x:row r="3" ht="25" customHeight="1">
      <x:c r="A3" s="20" t="str">
        <x:v>USD</x:v>
      </x:c>
      <x:c r="B3" s="21" t="str">
        <x:v>Year 1</x:v>
      </x:c>
      <x:c r="C3" s="21" t="str">
        <x:v>Year 2</x:v>
      </x:c>
      <x:c r="D3" s="21" t="str">
        <x:v>Year 3</x:v>
      </x:c>
      <x:c r="E3" s="21" t="str">
        <x:v>Year 4</x:v>
      </x:c>
      <x:c r="F3" s="22" t="str">
        <x:v>Year 5</x:v>
      </x:c>
      <x:c r="G3" s="101"/>
      <x:c r="H3" s="101"/>
    </x:row>
    <x:row r="4" ht="22" customHeight="1">
      <x:c r="A4" s="8" t="str">
        <x:v>Revenue</x:v>
      </x:c>
      <x:c r="B4" s="8"/>
      <x:c r="C4" s="8"/>
      <x:c r="D4" s="8"/>
      <x:c r="E4" s="8"/>
      <x:c r="F4" s="8"/>
      <x:c r="G4" s="101"/>
      <x:c r="H4" s="101"/>
    </x:row>
    <x:row r="5">
      <x:c r="A5" s="101" t="str">
        <x:v>Idea-development services</x:v>
      </x:c>
      <x:c r="B5" s="128" t="n">
        <x:f>'Unit Economics'!B24</x:f>
        <x:v>465973.8125</x:v>
      </x:c>
      <x:c r="C5" s="128" t="n">
        <x:f>'Unit Economics'!C24</x:f>
        <x:v>637648.375</x:v>
      </x:c>
      <x:c r="D5" s="128" t="n">
        <x:f>'Unit Economics'!D24</x:f>
        <x:v>797060.46875</x:v>
      </x:c>
      <x:c r="E5" s="128" t="n">
        <x:f>'Unit Economics'!E24</x:f>
        <x:v>919685.15625</x:v>
      </x:c>
      <x:c r="F5" s="128" t="n">
        <x:f>'Unit Economics'!F24</x:f>
        <x:v>1005522.4375</x:v>
      </x:c>
      <x:c r="G5" s="101"/>
      <x:c r="H5" s="101"/>
    </x:row>
    <x:row r="6">
      <x:c r="A6" s="101" t="str">
        <x:v>Founder memberships</x:v>
      </x:c>
      <x:c r="B6" s="128" t="n">
        <x:f>'Unit Economics'!B25</x:f>
        <x:v>130680</x:v>
      </x:c>
      <x:c r="C6" s="128" t="n">
        <x:f>'Unit Economics'!C25</x:f>
        <x:v>213840</x:v>
      </x:c>
      <x:c r="D6" s="128" t="n">
        <x:f>'Unit Economics'!D25</x:f>
        <x:v>308880</x:v>
      </x:c>
      <x:c r="E6" s="128" t="n">
        <x:f>'Unit Economics'!E25</x:f>
        <x:v>403920</x:v>
      </x:c>
      <x:c r="F6" s="128" t="n">
        <x:f>'Unit Economics'!F25</x:f>
        <x:v>498960</x:v>
      </x:c>
      <x:c r="G6" s="101"/>
      <x:c r="H6" s="101"/>
    </x:row>
    <x:row r="7">
      <x:c r="A7" s="101" t="str">
        <x:v>Lab / prototype add-ons</x:v>
      </x:c>
      <x:c r="B7" s="128" t="n">
        <x:f>'Unit Economics'!B26</x:f>
        <x:v>37277.905</x:v>
      </x:c>
      <x:c r="C7" s="128" t="n">
        <x:f>'Unit Economics'!C26</x:f>
        <x:v>51011.87</x:v>
      </x:c>
      <x:c r="D7" s="128" t="n">
        <x:f>'Unit Economics'!D26</x:f>
        <x:v>63764.8375</x:v>
      </x:c>
      <x:c r="E7" s="128" t="n">
        <x:f>'Unit Economics'!E26</x:f>
        <x:v>73574.8125</x:v>
      </x:c>
      <x:c r="F7" s="128" t="n">
        <x:f>'Unit Economics'!F26</x:f>
        <x:v>80441.795</x:v>
      </x:c>
      <x:c r="G7" s="101"/>
      <x:c r="H7" s="101"/>
    </x:row>
    <x:row r="8">
      <x:c r="A8" s="101" t="str">
        <x:v>Events and workshops</x:v>
      </x:c>
      <x:c r="B8" s="128" t="n">
        <x:f>'Unit Economics'!B27</x:f>
        <x:v>40000</x:v>
      </x:c>
      <x:c r="C8" s="128" t="n">
        <x:f>'Unit Economics'!C27</x:f>
        <x:v>65000</x:v>
      </x:c>
      <x:c r="D8" s="128" t="n">
        <x:f>'Unit Economics'!D27</x:f>
        <x:v>90000</x:v>
      </x:c>
      <x:c r="E8" s="128" t="n">
        <x:f>'Unit Economics'!E27</x:f>
        <x:v>110000</x:v>
      </x:c>
      <x:c r="F8" s="128" t="n">
        <x:f>'Unit Economics'!F27</x:f>
        <x:v>125000</x:v>
      </x:c>
      <x:c r="G8" s="101"/>
      <x:c r="H8" s="101"/>
    </x:row>
    <x:row r="9">
      <x:c r="A9" s="101" t="str">
        <x:v>Rewards crowdfunding fees (gated)</x:v>
      </x:c>
      <x:c r="B9" s="128" t="n">
        <x:f>'Unit Economics'!B28</x:f>
        <x:v>0</x:v>
      </x:c>
      <x:c r="C9" s="128" t="n">
        <x:f>'Unit Economics'!C28</x:f>
        <x:v>0</x:v>
      </x:c>
      <x:c r="D9" s="128" t="n">
        <x:f>'Unit Economics'!D28</x:f>
        <x:v>30000</x:v>
      </x:c>
      <x:c r="E9" s="128" t="n">
        <x:f>'Unit Economics'!E28</x:f>
        <x:v>90000</x:v>
      </x:c>
      <x:c r="F9" s="128" t="n">
        <x:f>'Unit Economics'!F28</x:f>
        <x:v>150000</x:v>
      </x:c>
      <x:c r="G9" s="101"/>
      <x:c r="H9" s="101"/>
    </x:row>
    <x:row r="10">
      <x:c r="A10" s="101" t="str">
        <x:v>Investor memberships (gated)</x:v>
      </x:c>
      <x:c r="B10" s="128" t="n">
        <x:f>'Unit Economics'!B29</x:f>
        <x:v>0</x:v>
      </x:c>
      <x:c r="C10" s="128" t="n">
        <x:f>'Unit Economics'!C29</x:f>
        <x:v>0</x:v>
      </x:c>
      <x:c r="D10" s="128" t="n">
        <x:f>'Unit Economics'!D29</x:f>
        <x:v>0</x:v>
      </x:c>
      <x:c r="E10" s="128" t="n">
        <x:f>'Unit Economics'!E29</x:f>
        <x:v>75000</x:v>
      </x:c>
      <x:c r="F10" s="128" t="n">
        <x:f>'Unit Economics'!F29</x:f>
        <x:v>150000</x:v>
      </x:c>
      <x:c r="G10" s="101"/>
      <x:c r="H10" s="101"/>
    </x:row>
    <x:row r="11">
      <x:c r="A11" s="129" t="str">
        <x:v>Total revenue</x:v>
      </x:c>
      <x:c r="B11" s="130" t="n">
        <x:f>SUM(B5:B10)</x:f>
        <x:v>673931.7175</x:v>
      </x:c>
      <x:c r="C11" s="130" t="n">
        <x:f>SUM(C5:C10)</x:f>
        <x:v>967500.245</x:v>
      </x:c>
      <x:c r="D11" s="130" t="n">
        <x:f>SUM(D5:D10)</x:f>
        <x:v>1289705.30625</x:v>
      </x:c>
      <x:c r="E11" s="130" t="n">
        <x:f>SUM(E5:E10)</x:f>
        <x:v>1672179.96875</x:v>
      </x:c>
      <x:c r="F11" s="130" t="n">
        <x:f>SUM(F5:F10)</x:f>
        <x:v>2009924.2325</x:v>
      </x:c>
      <x:c r="G11" s="101"/>
      <x:c r="H11" s="101"/>
    </x:row>
    <x:row r="12">
      <x:c r="A12" s="101"/>
      <x:c r="B12" s="104"/>
      <x:c r="C12" s="104"/>
      <x:c r="D12" s="104"/>
      <x:c r="E12" s="104"/>
      <x:c r="F12" s="104"/>
      <x:c r="G12" s="101"/>
      <x:c r="H12" s="101"/>
    </x:row>
    <x:row r="13" ht="22" customHeight="1">
      <x:c r="A13" s="8" t="str">
        <x:v>Cost of revenue</x:v>
      </x:c>
      <x:c r="B13" s="53"/>
      <x:c r="C13" s="53"/>
      <x:c r="D13" s="53"/>
      <x:c r="E13" s="53"/>
      <x:c r="F13" s="53"/>
      <x:c r="G13" s="101"/>
      <x:c r="H13" s="101"/>
    </x:row>
    <x:row r="14">
      <x:c r="A14" s="101" t="str">
        <x:v>Service delivery variable cost</x:v>
      </x:c>
      <x:c r="B14" s="104" t="n">
        <x:f>'Unit Economics'!B20*'Assumptions'!$F$10+'Unit Economics'!B21*'Assumptions'!$F$11+'Unit Economics'!B22*'Assumptions'!$F$12+'Unit Economics'!B23*'Assumptions'!$F$13</x:f>
        <x:v>52993.80249999999</x:v>
      </x:c>
      <x:c r="C14" s="104" t="n">
        <x:f>'Unit Economics'!C20*'Assumptions'!$F$10+'Unit Economics'!C21*'Assumptions'!$F$11+'Unit Economics'!C22*'Assumptions'!$F$12+'Unit Economics'!C23*'Assumptions'!$F$13</x:f>
        <x:v>72517.835</x:v>
      </x:c>
      <x:c r="D14" s="104" t="n">
        <x:f>'Unit Economics'!D20*'Assumptions'!$F$10+'Unit Economics'!D21*'Assumptions'!$F$11+'Unit Economics'!D22*'Assumptions'!$F$12+'Unit Economics'!D23*'Assumptions'!$F$13</x:f>
        <x:v>90647.29375</x:v>
      </x:c>
      <x:c r="E14" s="104" t="n">
        <x:f>'Unit Economics'!E20*'Assumptions'!$F$10+'Unit Economics'!E21*'Assumptions'!$F$11+'Unit Economics'!E22*'Assumptions'!$F$12+'Unit Economics'!E23*'Assumptions'!$F$13</x:f>
        <x:v>104593.03125</x:v>
      </x:c>
      <x:c r="F14" s="104" t="n">
        <x:f>'Unit Economics'!F20*'Assumptions'!$F$10+'Unit Economics'!F21*'Assumptions'!$F$11+'Unit Economics'!F22*'Assumptions'!$F$12+'Unit Economics'!F23*'Assumptions'!$F$13</x:f>
        <x:v>114355.04749999999</x:v>
      </x:c>
      <x:c r="G14" s="101"/>
      <x:c r="H14" s="101"/>
    </x:row>
    <x:row r="15">
      <x:c r="A15" s="101" t="str">
        <x:v>Membership delivery cost</x:v>
      </x:c>
      <x:c r="B15" s="104" t="n">
        <x:f>B6*10%</x:f>
        <x:v>13068</x:v>
      </x:c>
      <x:c r="C15" s="104" t="n">
        <x:f>C6*10%</x:f>
        <x:v>21384</x:v>
      </x:c>
      <x:c r="D15" s="104" t="n">
        <x:f>D6*10%</x:f>
        <x:v>30888</x:v>
      </x:c>
      <x:c r="E15" s="104" t="n">
        <x:f>E6*10%</x:f>
        <x:v>40392</x:v>
      </x:c>
      <x:c r="F15" s="104" t="n">
        <x:f>F6*10%</x:f>
        <x:v>49896</x:v>
      </x:c>
      <x:c r="G15" s="101"/>
      <x:c r="H15" s="101"/>
    </x:row>
    <x:row r="16">
      <x:c r="A16" s="101" t="str">
        <x:v>Lab / prototype materials</x:v>
      </x:c>
      <x:c r="B16" s="104" t="n">
        <x:f>B7*35%</x:f>
        <x:v>13047.266749999999</x:v>
      </x:c>
      <x:c r="C16" s="104" t="n">
        <x:f>C7*35%</x:f>
        <x:v>17854.1545</x:v>
      </x:c>
      <x:c r="D16" s="104" t="n">
        <x:f>D7*35%</x:f>
        <x:v>22317.693124999998</x:v>
      </x:c>
      <x:c r="E16" s="104" t="n">
        <x:f>E7*35%</x:f>
        <x:v>25751.184374999997</x:v>
      </x:c>
      <x:c r="F16" s="104" t="n">
        <x:f>F7*35%</x:f>
        <x:v>28154.628249999998</x:v>
      </x:c>
      <x:c r="G16" s="101"/>
      <x:c r="H16" s="101"/>
    </x:row>
    <x:row r="17">
      <x:c r="A17" s="101" t="str">
        <x:v>Events direct cost</x:v>
      </x:c>
      <x:c r="B17" s="104" t="n">
        <x:f>B8*30%</x:f>
        <x:v>12000</x:v>
      </x:c>
      <x:c r="C17" s="104" t="n">
        <x:f>C8*30%</x:f>
        <x:v>19500</x:v>
      </x:c>
      <x:c r="D17" s="104" t="n">
        <x:f>D8*30%</x:f>
        <x:v>27000</x:v>
      </x:c>
      <x:c r="E17" s="104" t="n">
        <x:f>E8*30%</x:f>
        <x:v>33000</x:v>
      </x:c>
      <x:c r="F17" s="104" t="n">
        <x:f>F8*30%</x:f>
        <x:v>37500</x:v>
      </x:c>
      <x:c r="G17" s="101"/>
      <x:c r="H17" s="101"/>
    </x:row>
    <x:row r="18">
      <x:c r="A18" s="101" t="str">
        <x:v>Rewards platform operations</x:v>
      </x:c>
      <x:c r="B18" s="104" t="n">
        <x:f>B9*40%</x:f>
        <x:v>0</x:v>
      </x:c>
      <x:c r="C18" s="104" t="n">
        <x:f>C9*40%</x:f>
        <x:v>0</x:v>
      </x:c>
      <x:c r="D18" s="104" t="n">
        <x:f>D9*40%</x:f>
        <x:v>12000</x:v>
      </x:c>
      <x:c r="E18" s="104" t="n">
        <x:f>E9*40%</x:f>
        <x:v>36000</x:v>
      </x:c>
      <x:c r="F18" s="104" t="n">
        <x:f>F9*40%</x:f>
        <x:v>60000</x:v>
      </x:c>
      <x:c r="G18" s="101"/>
      <x:c r="H18" s="101"/>
    </x:row>
    <x:row r="19">
      <x:c r="A19" s="101" t="str">
        <x:v>Investor network delivery</x:v>
      </x:c>
      <x:c r="B19" s="104" t="n">
        <x:f>B10*25%</x:f>
        <x:v>0</x:v>
      </x:c>
      <x:c r="C19" s="104" t="n">
        <x:f>C10*25%</x:f>
        <x:v>0</x:v>
      </x:c>
      <x:c r="D19" s="104" t="n">
        <x:f>D10*25%</x:f>
        <x:v>0</x:v>
      </x:c>
      <x:c r="E19" s="104" t="n">
        <x:f>E10*25%</x:f>
        <x:v>18750</x:v>
      </x:c>
      <x:c r="F19" s="104" t="n">
        <x:f>F10*25%</x:f>
        <x:v>37500</x:v>
      </x:c>
      <x:c r="G19" s="101"/>
      <x:c r="H19" s="101"/>
    </x:row>
    <x:row r="20">
      <x:c r="A20" s="117" t="str">
        <x:v>Total cost of revenue</x:v>
      </x:c>
      <x:c r="B20" s="119" t="n">
        <x:f>SUM(B14:B19)</x:f>
        <x:v>91109.06924999999</x:v>
      </x:c>
      <x:c r="C20" s="119" t="n">
        <x:f>SUM(C14:C19)</x:f>
        <x:v>131255.98950000003</x:v>
      </x:c>
      <x:c r="D20" s="119" t="n">
        <x:f>SUM(D14:D19)</x:f>
        <x:v>182852.986875</x:v>
      </x:c>
      <x:c r="E20" s="119" t="n">
        <x:f>SUM(E14:E19)</x:f>
        <x:v>258486.215625</x:v>
      </x:c>
      <x:c r="F20" s="119" t="n">
        <x:f>SUM(F14:F19)</x:f>
        <x:v>327405.67575</x:v>
      </x:c>
      <x:c r="G20" s="101"/>
      <x:c r="H20" s="101"/>
    </x:row>
    <x:row r="21">
      <x:c r="A21" s="131" t="str">
        <x:v>Gross profit</x:v>
      </x:c>
      <x:c r="B21" s="132" t="n">
        <x:f>B11-B20</x:f>
        <x:v>582822.6482500001</x:v>
      </x:c>
      <x:c r="C21" s="132" t="n">
        <x:f>C11-C20</x:f>
        <x:v>836244.2555</x:v>
      </x:c>
      <x:c r="D21" s="132" t="n">
        <x:f>D11-D20</x:f>
        <x:v>1106852.319375</x:v>
      </x:c>
      <x:c r="E21" s="132" t="n">
        <x:f>E11-E20</x:f>
        <x:v>1413693.753125</x:v>
      </x:c>
      <x:c r="F21" s="132" t="n">
        <x:f>F11-F20</x:f>
        <x:v>1682518.55675</x:v>
      </x:c>
      <x:c r="G21" s="101"/>
      <x:c r="H21" s="101"/>
    </x:row>
    <x:row r="22">
      <x:c r="A22" s="101" t="str">
        <x:v>Gross margin</x:v>
      </x:c>
      <x:c r="B22" s="133" t="n">
        <x:f>B21/B11</x:f>
        <x:v>0.8648096433449136</x:v>
      </x:c>
      <x:c r="C22" s="133" t="n">
        <x:f>C21/C11</x:f>
        <x:v>0.8643349289281058</x:v>
      </x:c>
      <x:c r="D22" s="133" t="n">
        <x:f>D21/D11</x:f>
        <x:v>0.8582211099009348</x:v>
      </x:c>
      <x:c r="E22" s="133" t="n">
        <x:f>E21/E11</x:f>
        <x:v>0.8454196196248988</x:v>
      </x:c>
      <x:c r="F22" s="133" t="n">
        <x:f>F21/F11</x:f>
        <x:v>0.8371054637503605</x:v>
      </x:c>
      <x:c r="G22" s="101"/>
      <x:c r="H22" s="101"/>
    </x:row>
    <x:row r="23">
      <x:c r="A23" s="101"/>
      <x:c r="B23" s="104"/>
      <x:c r="C23" s="104"/>
      <x:c r="D23" s="104"/>
      <x:c r="E23" s="104"/>
      <x:c r="F23" s="104"/>
      <x:c r="G23" s="101"/>
      <x:c r="H23" s="101"/>
    </x:row>
    <x:row r="24" ht="22" customHeight="1">
      <x:c r="A24" s="8" t="str">
        <x:v>Operating expenses</x:v>
      </x:c>
      <x:c r="B24" s="53"/>
      <x:c r="C24" s="53"/>
      <x:c r="D24" s="53"/>
      <x:c r="E24" s="53"/>
      <x:c r="F24" s="53"/>
      <x:c r="G24" s="101"/>
      <x:c r="H24" s="101"/>
    </x:row>
    <x:row r="25">
      <x:c r="A25" s="101" t="str">
        <x:v>Payroll and benefits</x:v>
      </x:c>
      <x:c r="B25" s="128" t="n">
        <x:f>('Assumptions'!$B$34+'Assumptions'!$B$35*'Assumptions'!$B$36+'Assumptions'!$B$37+'Assumptions'!$B$38*'Assumptions'!$B$39)*(1+'Assumptions'!$B$40)</x:f>
        <x:v>662400</x:v>
      </x:c>
      <x:c r="C25" s="128" t="n">
        <x:f>B25*(1+'Assumptions'!$B$41)</x:f>
        <x:v>682272</x:v>
      </x:c>
      <x:c r="D25" s="128" t="n">
        <x:f>C25*(1+'Assumptions'!$B$41)</x:f>
        <x:v>702740.16</x:v>
      </x:c>
      <x:c r="E25" s="128" t="n">
        <x:f>D25*(1+'Assumptions'!$B$41)</x:f>
        <x:v>723822.3648000001</x:v>
      </x:c>
      <x:c r="F25" s="128" t="n">
        <x:f>E25*(1+'Assumptions'!$B$41)</x:f>
        <x:v>745537.0357440001</x:v>
      </x:c>
      <x:c r="G25" s="101"/>
      <x:c r="H25" s="101"/>
    </x:row>
    <x:row r="26">
      <x:c r="A26" s="101" t="str">
        <x:v>Occupancy</x:v>
      </x:c>
      <x:c r="B26" s="128" t="n">
        <x:f>'Assumptions'!$B$44*('Assumptions'!$B$45+'Assumptions'!$B$46)</x:f>
        <x:v>124800</x:v>
      </x:c>
      <x:c r="C26" s="128" t="n">
        <x:f>B26*(1+'Assumptions'!$B$47)</x:f>
        <x:v>128544</x:v>
      </x:c>
      <x:c r="D26" s="128" t="n">
        <x:f>C26*(1+'Assumptions'!$B$47)</x:f>
        <x:v>132400.32</x:v>
      </x:c>
      <x:c r="E26" s="128" t="n">
        <x:f>D26*(1+'Assumptions'!$B$47)</x:f>
        <x:v>136372.3296</x:v>
      </x:c>
      <x:c r="F26" s="128" t="n">
        <x:f>E26*(1+'Assumptions'!$B$47)</x:f>
        <x:v>140463.499488</x:v>
      </x:c>
      <x:c r="G26" s="101"/>
      <x:c r="H26" s="101"/>
    </x:row>
    <x:row r="27">
      <x:c r="A27" s="101" t="str">
        <x:v>Technology and software</x:v>
      </x:c>
      <x:c r="B27" s="128" t="n">
        <x:f>'Assumptions'!$B$56</x:f>
        <x:v>90000</x:v>
      </x:c>
      <x:c r="C27" s="128" t="n">
        <x:f>B27*(1+'Assumptions'!$B$57)</x:f>
        <x:v>97200</x:v>
      </x:c>
      <x:c r="D27" s="128" t="n">
        <x:f>C27*(1+'Assumptions'!$B$57)</x:f>
        <x:v>104976</x:v>
      </x:c>
      <x:c r="E27" s="128" t="n">
        <x:f>D27*(1+'Assumptions'!$B$57)</x:f>
        <x:v>113374.08</x:v>
      </x:c>
      <x:c r="F27" s="128" t="n">
        <x:f>E27*(1+'Assumptions'!$B$57)</x:f>
        <x:v>122444.00640000001</x:v>
      </x:c>
      <x:c r="G27" s="101"/>
      <x:c r="H27" s="101"/>
    </x:row>
    <x:row r="28">
      <x:c r="A28" s="101" t="str">
        <x:v>Sales and marketing</x:v>
      </x:c>
      <x:c r="B28" s="128" t="n">
        <x:f>'Assumptions'!B58</x:f>
        <x:v>150000</x:v>
      </x:c>
      <x:c r="C28" s="128" t="n">
        <x:f>'Assumptions'!C58</x:f>
        <x:v>130000</x:v>
      </x:c>
      <x:c r="D28" s="128" t="n">
        <x:f>'Assumptions'!D58</x:f>
        <x:v>135000</x:v>
      </x:c>
      <x:c r="E28" s="128" t="n">
        <x:f>'Assumptions'!E58</x:f>
        <x:v>145000</x:v>
      </x:c>
      <x:c r="F28" s="128" t="n">
        <x:f>'Assumptions'!F58</x:f>
        <x:v>160000</x:v>
      </x:c>
      <x:c r="G28" s="101"/>
      <x:c r="H28" s="101"/>
    </x:row>
    <x:row r="29">
      <x:c r="A29" s="101" t="str">
        <x:v>Professional services and insurance</x:v>
      </x:c>
      <x:c r="B29" s="128" t="n">
        <x:f>'Assumptions'!B59</x:f>
        <x:v>80000</x:v>
      </x:c>
      <x:c r="C29" s="128" t="n">
        <x:f>'Assumptions'!C59</x:f>
        <x:v>75000</x:v>
      </x:c>
      <x:c r="D29" s="128" t="n">
        <x:f>'Assumptions'!D59</x:f>
        <x:v>80000</x:v>
      </x:c>
      <x:c r="E29" s="128" t="n">
        <x:f>'Assumptions'!E59</x:f>
        <x:v>90000</x:v>
      </x:c>
      <x:c r="F29" s="128" t="n">
        <x:f>'Assumptions'!F59</x:f>
        <x:v>100000</x:v>
      </x:c>
      <x:c r="G29" s="101"/>
      <x:c r="H29" s="101"/>
    </x:row>
    <x:row r="30">
      <x:c r="A30" s="101" t="str">
        <x:v>Utilities and connectivity</x:v>
      </x:c>
      <x:c r="B30" s="128" t="n">
        <x:f>'Assumptions'!$B$60</x:f>
        <x:v>35000</x:v>
      </x:c>
      <x:c r="C30" s="128" t="n">
        <x:f>B30*(1+'Assumptions'!$B$61)</x:f>
        <x:v>36050</x:v>
      </x:c>
      <x:c r="D30" s="128" t="n">
        <x:f>C30*(1+'Assumptions'!$B$61)</x:f>
        <x:v>37131.5</x:v>
      </x:c>
      <x:c r="E30" s="128" t="n">
        <x:f>D30*(1+'Assumptions'!$B$61)</x:f>
        <x:v>38245.445</x:v>
      </x:c>
      <x:c r="F30" s="128" t="n">
        <x:f>E30*(1+'Assumptions'!$B$61)</x:f>
        <x:v>39392.80835</x:v>
      </x:c>
      <x:c r="G30" s="101"/>
      <x:c r="H30" s="101"/>
    </x:row>
    <x:row r="31">
      <x:c r="A31" s="101" t="str">
        <x:v>General and administrative</x:v>
      </x:c>
      <x:c r="B31" s="128" t="n">
        <x:f>'Assumptions'!B62</x:f>
        <x:v>55000</x:v>
      </x:c>
      <x:c r="C31" s="128" t="n">
        <x:f>'Assumptions'!C62</x:f>
        <x:v>60000</x:v>
      </x:c>
      <x:c r="D31" s="128" t="n">
        <x:f>'Assumptions'!D62</x:f>
        <x:v>65000</x:v>
      </x:c>
      <x:c r="E31" s="128" t="n">
        <x:f>'Assumptions'!E62</x:f>
        <x:v>70000</x:v>
      </x:c>
      <x:c r="F31" s="128" t="n">
        <x:f>'Assumptions'!F62</x:f>
        <x:v>80000</x:v>
      </x:c>
      <x:c r="G31" s="101"/>
      <x:c r="H31" s="101"/>
    </x:row>
    <x:row r="32">
      <x:c r="A32" s="101" t="str">
        <x:v>Platform / compliance fixed cost</x:v>
      </x:c>
      <x:c r="B32" s="128" t="n">
        <x:f>'Assumptions'!B63</x:f>
        <x:v>0</x:v>
      </x:c>
      <x:c r="C32" s="128" t="n">
        <x:f>'Assumptions'!C63</x:f>
        <x:v>0</x:v>
      </x:c>
      <x:c r="D32" s="128" t="n">
        <x:f>'Assumptions'!D63</x:f>
        <x:v>100000</x:v>
      </x:c>
      <x:c r="E32" s="128" t="n">
        <x:f>'Assumptions'!E63</x:f>
        <x:v>160000</x:v>
      </x:c>
      <x:c r="F32" s="128" t="n">
        <x:f>'Assumptions'!F63</x:f>
        <x:v>220000</x:v>
      </x:c>
      <x:c r="G32" s="101"/>
      <x:c r="H32" s="101"/>
    </x:row>
    <x:row r="33">
      <x:c r="A33" s="117" t="str">
        <x:v>Total operating expenses</x:v>
      </x:c>
      <x:c r="B33" s="119" t="n">
        <x:f>SUM(B25:B32)</x:f>
        <x:v>1197200</x:v>
      </x:c>
      <x:c r="C33" s="119" t="n">
        <x:f>SUM(C25:C32)</x:f>
        <x:v>1209066</x:v>
      </x:c>
      <x:c r="D33" s="119" t="n">
        <x:f>SUM(D25:D32)</x:f>
        <x:v>1357247.98</x:v>
      </x:c>
      <x:c r="E33" s="119" t="n">
        <x:f>SUM(E25:E32)</x:f>
        <x:v>1476814.2194</x:v>
      </x:c>
      <x:c r="F33" s="119" t="n">
        <x:f>SUM(F25:F32)</x:f>
        <x:v>1607837.3499820002</x:v>
      </x:c>
      <x:c r="G33" s="101"/>
      <x:c r="H33" s="101"/>
    </x:row>
    <x:row r="34">
      <x:c r="A34" s="131" t="str">
        <x:v>EBITDA</x:v>
      </x:c>
      <x:c r="B34" s="132" t="n">
        <x:f>B21-B33</x:f>
        <x:v>-614377.3517499999</x:v>
      </x:c>
      <x:c r="C34" s="132" t="n">
        <x:f>C21-C33</x:f>
        <x:v>-372821.74450000003</x:v>
      </x:c>
      <x:c r="D34" s="132" t="n">
        <x:f>D21-D33</x:f>
        <x:v>-250395.66062500002</x:v>
      </x:c>
      <x:c r="E34" s="132" t="n">
        <x:f>E21-E33</x:f>
        <x:v>-63120.46627500001</x:v>
      </x:c>
      <x:c r="F34" s="132" t="n">
        <x:f>F21-F33</x:f>
        <x:v>74681.2067679998</x:v>
      </x:c>
      <x:c r="G34" s="101"/>
      <x:c r="H34" s="101"/>
    </x:row>
    <x:row r="35">
      <x:c r="A35" s="101" t="str">
        <x:v>EBITDA margin</x:v>
      </x:c>
      <x:c r="B35" s="133" t="n">
        <x:f>B34/B11</x:f>
        <x:v>-0.9116314543394374</x:v>
      </x:c>
      <x:c r="C35" s="133" t="n">
        <x:f>C34/C11</x:f>
        <x:v>-0.3853453747704219</x:v>
      </x:c>
      <x:c r="D35" s="133" t="n">
        <x:f>D34/D11</x:f>
        <x:v>-0.19414951571616054</x:v>
      </x:c>
      <x:c r="E35" s="133" t="n">
        <x:f>E34/E11</x:f>
        <x:v>-0.03774741203375632</x:v>
      </x:c>
      <x:c r="F35" s="133" t="n">
        <x:f>F34/F11</x:f>
        <x:v>0.037156229852062246</x:v>
      </x:c>
      <x:c r="G35" s="101"/>
      <x:c r="H35" s="101"/>
    </x:row>
    <x:row r="36">
      <x:c r="A36" s="101" t="str">
        <x:v>Depreciation</x:v>
      </x:c>
      <x:c r="B36" s="104" t="n">
        <x:f>('Assumptions'!$B$44*'Assumptions'!$B$48+'Assumptions'!$B$49+'Assumptions'!$B$50)/'Assumptions'!$B$64</x:f>
        <x:v>164000</x:v>
      </x:c>
      <x:c r="C36" s="104" t="n">
        <x:f>B36+B11*'Assumptions'!$B$65/'Assumptions'!$B$64</x:f>
        <x:v>166021.7951525</x:v>
      </x:c>
      <x:c r="D36" s="104" t="n">
        <x:f>C36+C11*'Assumptions'!$B$65/'Assumptions'!$B$64</x:f>
        <x:v>168924.29588750002</x:v>
      </x:c>
      <x:c r="E36" s="104" t="n">
        <x:f>D36+D11*'Assumptions'!$B$65/'Assumptions'!$B$64</x:f>
        <x:v>172793.41180625002</x:v>
      </x:c>
      <x:c r="F36" s="104" t="n">
        <x:f>E36+E11*'Assumptions'!$B$65/'Assumptions'!$B$64</x:f>
        <x:v>177809.9517125</x:v>
      </x:c>
      <x:c r="G36" s="101"/>
      <x:c r="H36" s="101"/>
    </x:row>
    <x:row r="37">
      <x:c r="A37" s="117" t="str">
        <x:v>EBIT</x:v>
      </x:c>
      <x:c r="B37" s="119" t="n">
        <x:f>B34-B36</x:f>
        <x:v>-778377.3517499999</x:v>
      </x:c>
      <x:c r="C37" s="119" t="n">
        <x:f>C34-C36</x:f>
        <x:v>-538843.5396525001</x:v>
      </x:c>
      <x:c r="D37" s="119" t="n">
        <x:f>D34-D36</x:f>
        <x:v>-419319.95651250007</x:v>
      </x:c>
      <x:c r="E37" s="119" t="n">
        <x:f>E34-E36</x:f>
        <x:v>-235913.87808125003</x:v>
      </x:c>
      <x:c r="F37" s="119" t="n">
        <x:f>F34-F36</x:f>
        <x:v>-103128.74494450021</x:v>
      </x:c>
      <x:c r="G37" s="101"/>
      <x:c r="H37" s="101"/>
    </x:row>
    <x:row r="38">
      <x:c r="A38" s="131" t="str">
        <x:v>Simplified cash taxes</x:v>
      </x:c>
      <x:c r="B38" s="132" t="n">
        <x:f>MAX(0,B37*'Assumptions'!$B$67)</x:f>
        <x:v>0</x:v>
      </x:c>
      <x:c r="C38" s="132" t="n">
        <x:f>MAX(0,C37*'Assumptions'!$B$67)</x:f>
        <x:v>0</x:v>
      </x:c>
      <x:c r="D38" s="132" t="n">
        <x:f>MAX(0,D37*'Assumptions'!$B$67)</x:f>
        <x:v>0</x:v>
      </x:c>
      <x:c r="E38" s="132" t="n">
        <x:f>MAX(0,E37*'Assumptions'!$B$67)</x:f>
        <x:v>0</x:v>
      </x:c>
      <x:c r="F38" s="132" t="n">
        <x:f>MAX(0,F37*'Assumptions'!$B$67)</x:f>
        <x:v>0</x:v>
      </x:c>
      <x:c r="G38" s="101"/>
      <x:c r="H38" s="101"/>
    </x:row>
    <x:row r="39">
      <x:c r="A39" s="131" t="str">
        <x:v>Net income</x:v>
      </x:c>
      <x:c r="B39" s="132" t="n">
        <x:f>B37-B38</x:f>
        <x:v>-778377.3517499999</x:v>
      </x:c>
      <x:c r="C39" s="132" t="n">
        <x:f>C37-C38</x:f>
        <x:v>-538843.5396525001</x:v>
      </x:c>
      <x:c r="D39" s="132" t="n">
        <x:f>D37-D38</x:f>
        <x:v>-419319.95651250007</x:v>
      </x:c>
      <x:c r="E39" s="132" t="n">
        <x:f>E37-E38</x:f>
        <x:v>-235913.87808125003</x:v>
      </x:c>
      <x:c r="F39" s="132" t="n">
        <x:f>F37-F38</x:f>
        <x:v>-103128.74494450021</x:v>
      </x:c>
      <x:c r="G39" s="101"/>
      <x:c r="H39" s="101"/>
    </x:row>
  </x:sheetData>
  <x:mergeCells>
    <x:mergeCell ref="A1:H1"/>
    <x:mergeCell ref="A2:H2"/>
    <x:mergeCell ref="A4:F4"/>
    <x:mergeCell ref="A13:F13"/>
    <x:mergeCell ref="A24:F24"/>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8" hidden="0" customWidth="1"/>
  </x:cols>
  <x:sheetData>
    <x:row r="1" ht="34" customHeight="1">
      <x:c r="A1" s="3" t="str">
        <x:v>Cash Flow and Funding Need</x:v>
      </x:c>
      <x:c r="B1" s="3"/>
      <x:c r="C1" s="3"/>
      <x:c r="D1" s="3"/>
      <x:c r="E1" s="3"/>
      <x:c r="F1" s="3"/>
      <x:c r="G1" s="3"/>
      <x:c r="H1" s="3"/>
    </x:row>
    <x:row r="2" ht="24" customHeight="1">
      <x:c r="A2" s="102" t="str">
        <x:v>Base case | Financing is a funding-need placeholder, not a proposed security</x:v>
      </x:c>
      <x:c r="B2" s="102"/>
      <x:c r="C2" s="102"/>
      <x:c r="D2" s="102"/>
      <x:c r="E2" s="102"/>
      <x:c r="F2" s="102"/>
      <x:c r="G2" s="102"/>
      <x:c r="H2" s="102"/>
    </x:row>
    <x:row r="3" ht="25" customHeight="1">
      <x:c r="A3" s="20" t="str">
        <x:v>USD</x:v>
      </x:c>
      <x:c r="B3" s="21" t="str">
        <x:v>Pre-open</x:v>
      </x:c>
      <x:c r="C3" s="21" t="str">
        <x:v>Year 1</x:v>
      </x:c>
      <x:c r="D3" s="21" t="str">
        <x:v>Year 2</x:v>
      </x:c>
      <x:c r="E3" s="21" t="str">
        <x:v>Year 3</x:v>
      </x:c>
      <x:c r="F3" s="21" t="str">
        <x:v>Year 4</x:v>
      </x:c>
      <x:c r="G3" s="22" t="str">
        <x:v>Year 5</x:v>
      </x:c>
      <x:c r="H3" s="101"/>
    </x:row>
    <x:row r="4">
      <x:c r="A4" s="101"/>
      <x:c r="B4" s="101"/>
      <x:c r="C4" s="101"/>
      <x:c r="D4" s="101"/>
      <x:c r="E4" s="101"/>
      <x:c r="F4" s="101"/>
      <x:c r="G4" s="101"/>
      <x:c r="H4" s="101"/>
    </x:row>
    <x:row r="5" ht="22" customHeight="1">
      <x:c r="A5" s="8" t="str">
        <x:v>Unlevered cash flow</x:v>
      </x:c>
      <x:c r="B5" s="8"/>
      <x:c r="C5" s="8"/>
      <x:c r="D5" s="8"/>
      <x:c r="E5" s="8"/>
      <x:c r="F5" s="8"/>
      <x:c r="G5" s="8"/>
      <x:c r="H5" s="101"/>
    </x:row>
    <x:row r="6">
      <x:c r="A6" s="101" t="str">
        <x:v>Total revenue</x:v>
      </x:c>
      <x:c r="B6" s="104" t="n">
        <x:v>0</x:v>
      </x:c>
      <x:c r="C6" s="128" t="n">
        <x:f>'P&amp;L 5-Year'!B11</x:f>
        <x:v>673931.7175</x:v>
      </x:c>
      <x:c r="D6" s="128" t="n">
        <x:f>'P&amp;L 5-Year'!C11</x:f>
        <x:v>967500.245</x:v>
      </x:c>
      <x:c r="E6" s="128" t="n">
        <x:f>'P&amp;L 5-Year'!D11</x:f>
        <x:v>1289705.30625</x:v>
      </x:c>
      <x:c r="F6" s="128" t="n">
        <x:f>'P&amp;L 5-Year'!E11</x:f>
        <x:v>1672179.96875</x:v>
      </x:c>
      <x:c r="G6" s="128" t="n">
        <x:f>'P&amp;L 5-Year'!F11</x:f>
        <x:v>2009924.2325</x:v>
      </x:c>
      <x:c r="H6" s="101"/>
    </x:row>
    <x:row r="7">
      <x:c r="A7" s="101" t="str">
        <x:v>EBITDA</x:v>
      </x:c>
      <x:c r="B7" s="104" t="n">
        <x:v>0</x:v>
      </x:c>
      <x:c r="C7" s="128" t="n">
        <x:f>'P&amp;L 5-Year'!B34</x:f>
        <x:v>-614377.3517499999</x:v>
      </x:c>
      <x:c r="D7" s="128" t="n">
        <x:f>'P&amp;L 5-Year'!C34</x:f>
        <x:v>-372821.74450000003</x:v>
      </x:c>
      <x:c r="E7" s="128" t="n">
        <x:f>'P&amp;L 5-Year'!D34</x:f>
        <x:v>-250395.66062500002</x:v>
      </x:c>
      <x:c r="F7" s="128" t="n">
        <x:f>'P&amp;L 5-Year'!E34</x:f>
        <x:v>-63120.46627500001</x:v>
      </x:c>
      <x:c r="G7" s="128" t="n">
        <x:f>'P&amp;L 5-Year'!F34</x:f>
        <x:v>74681.2067679998</x:v>
      </x:c>
      <x:c r="H7" s="101"/>
    </x:row>
    <x:row r="8">
      <x:c r="A8" s="101" t="str">
        <x:v>Cash taxes</x:v>
      </x:c>
      <x:c r="B8" s="104" t="n">
        <x:v>0</x:v>
      </x:c>
      <x:c r="C8" s="128" t="n">
        <x:f>-'P&amp;L 5-Year'!B38</x:f>
        <x:v>0</x:v>
      </x:c>
      <x:c r="D8" s="128" t="n">
        <x:f>-'P&amp;L 5-Year'!C38</x:f>
        <x:v>0</x:v>
      </x:c>
      <x:c r="E8" s="128" t="n">
        <x:f>-'P&amp;L 5-Year'!D38</x:f>
        <x:v>0</x:v>
      </x:c>
      <x:c r="F8" s="128" t="n">
        <x:f>-'P&amp;L 5-Year'!E38</x:f>
        <x:v>0</x:v>
      </x:c>
      <x:c r="G8" s="128" t="n">
        <x:f>-'P&amp;L 5-Year'!F38</x:f>
        <x:v>0</x:v>
      </x:c>
      <x:c r="H8" s="101"/>
    </x:row>
    <x:row r="9">
      <x:c r="A9" s="101" t="str">
        <x:v>Change in net working capital</x:v>
      </x:c>
      <x:c r="B9" s="104" t="n">
        <x:v>0</x:v>
      </x:c>
      <x:c r="C9" s="104" t="n">
        <x:f>-C6*'Assumptions'!$B$66</x:f>
        <x:v>-13478.63435</x:v>
      </x:c>
      <x:c r="D9" s="104" t="n">
        <x:f>-(D6-C6)*'Assumptions'!$B$66</x:f>
        <x:v>-5871.37055</x:v>
      </x:c>
      <x:c r="E9" s="104" t="n">
        <x:f>-(E6-D6)*'Assumptions'!$B$66</x:f>
        <x:v>-6444.1012249999985</x:v>
      </x:c>
      <x:c r="F9" s="104" t="n">
        <x:f>-(F6-E6)*'Assumptions'!$B$66</x:f>
        <x:v>-7649.493250000002</x:v>
      </x:c>
      <x:c r="G9" s="104" t="n">
        <x:f>-(G6-F6)*'Assumptions'!$B$66</x:f>
        <x:v>-6754.885274999999</x:v>
      </x:c>
      <x:c r="H9" s="101"/>
    </x:row>
    <x:row r="10">
      <x:c r="A10" s="101" t="str">
        <x:v>Maintenance capex</x:v>
      </x:c>
      <x:c r="B10" s="104" t="n">
        <x:v>0</x:v>
      </x:c>
      <x:c r="C10" s="104" t="n">
        <x:f>-C6*'Assumptions'!$B$65</x:f>
        <x:v>-10108.9757625</x:v>
      </x:c>
      <x:c r="D10" s="104" t="n">
        <x:f>-D6*'Assumptions'!$B$65</x:f>
        <x:v>-14512.503675</x:v>
      </x:c>
      <x:c r="E10" s="104" t="n">
        <x:f>-E6*'Assumptions'!$B$65</x:f>
        <x:v>-19345.579593749997</x:v>
      </x:c>
      <x:c r="F10" s="104" t="n">
        <x:f>-F6*'Assumptions'!$B$65</x:f>
        <x:v>-25082.69953125</x:v>
      </x:c>
      <x:c r="G10" s="104" t="n">
        <x:f>-G6*'Assumptions'!$B$65</x:f>
        <x:v>-30148.8634875</x:v>
      </x:c>
      <x:c r="H10" s="101"/>
    </x:row>
    <x:row r="11">
      <x:c r="A11" s="101" t="str">
        <x:v>Opening uses</x:v>
      </x:c>
      <x:c r="B11" s="104" t="n">
        <x:f>-('Assumptions'!$B$44*'Assumptions'!$B$48+'Assumptions'!$B$49+'Assumptions'!$B$50+'Assumptions'!$B$51+'Assumptions'!$B$52)</x:f>
        <x:v>-995000</x:v>
      </x:c>
      <x:c r="C11" s="104" t="n">
        <x:v>0</x:v>
      </x:c>
      <x:c r="D11" s="104" t="n">
        <x:v>0</x:v>
      </x:c>
      <x:c r="E11" s="104" t="n">
        <x:v>0</x:v>
      </x:c>
      <x:c r="F11" s="104" t="n">
        <x:v>0</x:v>
      </x:c>
      <x:c r="G11" s="104" t="n">
        <x:v>0</x:v>
      </x:c>
      <x:c r="H11" s="101"/>
    </x:row>
    <x:row r="12">
      <x:c r="A12" s="117" t="str">
        <x:v>Unlevered cash flow</x:v>
      </x:c>
      <x:c r="B12" s="119" t="n">
        <x:f>SUM(B7:B11)</x:f>
        <x:v>-995000</x:v>
      </x:c>
      <x:c r="C12" s="119" t="n">
        <x:f>SUM(C7:C11)</x:f>
        <x:v>-637964.9618624998</x:v>
      </x:c>
      <x:c r="D12" s="119" t="n">
        <x:f>SUM(D7:D11)</x:f>
        <x:v>-393205.618725</x:v>
      </x:c>
      <x:c r="E12" s="119" t="n">
        <x:f>SUM(E7:E11)</x:f>
        <x:v>-276185.34144375</x:v>
      </x:c>
      <x:c r="F12" s="119" t="n">
        <x:f>SUM(F7:F11)</x:f>
        <x:v>-95852.65905625</x:v>
      </x:c>
      <x:c r="G12" s="119" t="n">
        <x:f>SUM(G7:G11)</x:f>
        <x:v>37777.45800549981</x:v>
      </x:c>
      <x:c r="H12" s="101"/>
    </x:row>
    <x:row r="13">
      <x:c r="A13" s="101" t="str">
        <x:v>Cumulative cash flow before financing</x:v>
      </x:c>
      <x:c r="B13" s="104" t="n">
        <x:f>B12</x:f>
        <x:v>-995000</x:v>
      </x:c>
      <x:c r="C13" s="104" t="n">
        <x:f>B13+C12</x:f>
        <x:v>-1632964.9618624998</x:v>
      </x:c>
      <x:c r="D13" s="104" t="n">
        <x:f>C13+D12</x:f>
        <x:v>-2026170.5805874998</x:v>
      </x:c>
      <x:c r="E13" s="104" t="n">
        <x:f>D13+E12</x:f>
        <x:v>-2302355.92203125</x:v>
      </x:c>
      <x:c r="F13" s="104" t="n">
        <x:f>E13+F12</x:f>
        <x:v>-2398208.5810875</x:v>
      </x:c>
      <x:c r="G13" s="104" t="n">
        <x:f>F13+G12</x:f>
        <x:v>-2360431.123082</x:v>
      </x:c>
      <x:c r="H13" s="101"/>
    </x:row>
    <x:row r="14">
      <x:c r="A14" s="129" t="str">
        <x:v>Required external financing</x:v>
      </x:c>
      <x:c r="B14" s="130" t="n">
        <x:f>-MIN(B13:G13)+'Assumptions'!$B$53</x:f>
        <x:v>2648208.5810875</x:v>
      </x:c>
      <x:c r="C14" s="130" t="n">
        <x:v>0</x:v>
      </x:c>
      <x:c r="D14" s="130" t="n">
        <x:v>0</x:v>
      </x:c>
      <x:c r="E14" s="130" t="n">
        <x:v>0</x:v>
      </x:c>
      <x:c r="F14" s="130" t="n">
        <x:v>0</x:v>
      </x:c>
      <x:c r="G14" s="130" t="n">
        <x:v>0</x:v>
      </x:c>
      <x:c r="H14" s="101"/>
    </x:row>
    <x:row r="15">
      <x:c r="A15" s="8" t="str">
        <x:v>Financing inflow</x:v>
      </x:c>
      <x:c r="B15" s="53" t="n">
        <x:f>B14</x:f>
        <x:v>2648208.5810875</x:v>
      </x:c>
      <x:c r="C15" s="53" t="n">
        <x:v>0</x:v>
      </x:c>
      <x:c r="D15" s="53" t="n">
        <x:v>0</x:v>
      </x:c>
      <x:c r="E15" s="53" t="n">
        <x:v>0</x:v>
      </x:c>
      <x:c r="F15" s="53" t="n">
        <x:v>0</x:v>
      </x:c>
      <x:c r="G15" s="53" t="n">
        <x:v>0</x:v>
      </x:c>
      <x:c r="H15" s="101"/>
    </x:row>
    <x:row r="16">
      <x:c r="A16" s="8" t="str">
        <x:v>Ending cash</x:v>
      </x:c>
      <x:c r="B16" s="53" t="n">
        <x:f>B12+B15</x:f>
        <x:v>1653208.5810874999</x:v>
      </x:c>
      <x:c r="C16" s="53" t="n">
        <x:f>B16+C12</x:f>
        <x:v>1015243.619225</x:v>
      </x:c>
      <x:c r="D16" s="53" t="n">
        <x:f>C16+D12</x:f>
        <x:v>622038.0005000001</x:v>
      </x:c>
      <x:c r="E16" s="53" t="n">
        <x:f>D16+E12</x:f>
        <x:v>345852.65905625006</x:v>
      </x:c>
      <x:c r="F16" s="53" t="n">
        <x:f>E16+F12</x:f>
        <x:v>250000.00000000006</x:v>
      </x:c>
      <x:c r="G16" s="53" t="n">
        <x:f>F16+G12</x:f>
        <x:v>287777.45800549985</x:v>
      </x:c>
      <x:c r="H16" s="101"/>
    </x:row>
    <x:row r="17">
      <x:c r="A17" s="101"/>
      <x:c r="B17" s="101"/>
      <x:c r="C17" s="101"/>
      <x:c r="D17" s="101"/>
      <x:c r="E17" s="101"/>
      <x:c r="F17" s="101"/>
      <x:c r="G17" s="101"/>
      <x:c r="H17" s="101"/>
    </x:row>
    <x:row r="18" ht="22" customHeight="1">
      <x:c r="A18" s="8" t="str">
        <x:v>Opening uses detail</x:v>
      </x:c>
      <x:c r="B18" s="8"/>
      <x:c r="C18" s="8"/>
      <x:c r="D18" s="8"/>
      <x:c r="E18" s="8"/>
      <x:c r="F18" s="8"/>
      <x:c r="G18" s="8"/>
      <x:c r="H18" s="101"/>
    </x:row>
    <x:row r="19">
      <x:c r="A19" s="101" t="str">
        <x:v>Leasehold improvements</x:v>
      </x:c>
      <x:c r="B19" s="128" t="n">
        <x:f>'Assumptions'!$B$44*'Assumptions'!$B$48</x:f>
        <x:v>560000</x:v>
      </x:c>
      <x:c r="C19" s="101"/>
      <x:c r="D19" s="101"/>
      <x:c r="E19" s="101"/>
      <x:c r="F19" s="101"/>
      <x:c r="G19" s="101"/>
      <x:c r="H19" s="101"/>
    </x:row>
    <x:row r="20">
      <x:c r="A20" s="101" t="str">
        <x:v>Furniture, fixtures, and equipment</x:v>
      </x:c>
      <x:c r="B20" s="128" t="n">
        <x:f>'Assumptions'!$B$49</x:f>
        <x:v>120000</x:v>
      </x:c>
      <x:c r="C20" s="101"/>
      <x:c r="D20" s="101"/>
      <x:c r="E20" s="101"/>
      <x:c r="F20" s="101"/>
      <x:c r="G20" s="101"/>
      <x:c r="H20" s="101"/>
    </x:row>
    <x:row r="21">
      <x:c r="A21" s="101" t="str">
        <x:v>Technology and studio equipment</x:v>
      </x:c>
      <x:c r="B21" s="128" t="n">
        <x:f>'Assumptions'!$B$50</x:f>
        <x:v>140000</x:v>
      </x:c>
      <x:c r="C21" s="101"/>
      <x:c r="D21" s="101"/>
      <x:c r="E21" s="101"/>
      <x:c r="F21" s="101"/>
      <x:c r="G21" s="101"/>
      <x:c r="H21" s="101"/>
    </x:row>
    <x:row r="22">
      <x:c r="A22" s="101" t="str">
        <x:v>Pre-opening / training / permits</x:v>
      </x:c>
      <x:c r="B22" s="128" t="n">
        <x:f>'Assumptions'!$B$51</x:f>
        <x:v>125000</x:v>
      </x:c>
      <x:c r="C22" s="101"/>
      <x:c r="D22" s="101"/>
      <x:c r="E22" s="101"/>
      <x:c r="F22" s="101"/>
      <x:c r="G22" s="101"/>
      <x:c r="H22" s="101"/>
    </x:row>
    <x:row r="23">
      <x:c r="A23" s="101" t="str">
        <x:v>Lease and utility deposits</x:v>
      </x:c>
      <x:c r="B23" s="128" t="n">
        <x:f>'Assumptions'!$B$52</x:f>
        <x:v>50000</x:v>
      </x:c>
      <x:c r="C23" s="101"/>
      <x:c r="D23" s="101"/>
      <x:c r="E23" s="101"/>
      <x:c r="F23" s="101"/>
      <x:c r="G23" s="101"/>
      <x:c r="H23" s="101"/>
    </x:row>
    <x:row r="24">
      <x:c r="A24" s="117" t="str">
        <x:v>Total opening uses</x:v>
      </x:c>
      <x:c r="B24" s="119" t="n">
        <x:f>SUM(B19:B23)</x:f>
        <x:v>995000</x:v>
      </x:c>
      <x:c r="C24" s="101"/>
      <x:c r="D24" s="101"/>
      <x:c r="E24" s="101"/>
      <x:c r="F24" s="101"/>
      <x:c r="G24" s="101"/>
      <x:c r="H24" s="101"/>
    </x:row>
  </x:sheetData>
  <x:mergeCells>
    <x:mergeCell ref="A1:H1"/>
    <x:mergeCell ref="A2:H2"/>
    <x:mergeCell ref="A5:G5"/>
    <x:mergeCell ref="A18:G18"/>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8" hidden="0" customWidth="1"/>
    <x:col min="2" max="2" width="15" hidden="0" customWidth="1"/>
    <x:col min="3" max="3" width="15" hidden="0" customWidth="1"/>
    <x:col min="4" max="4" width="15" hidden="0" customWidth="1"/>
    <x:col min="5" max="5" width="15" hidden="0" customWidth="1"/>
    <x:col min="6" max="6" width="15" hidden="0" customWidth="1"/>
    <x:col min="7" max="7" width="16" hidden="0" customWidth="1"/>
    <x:col min="8" max="8" width="18" hidden="0" customWidth="1"/>
  </x:cols>
  <x:sheetData>
    <x:row r="1" ht="34" customHeight="1">
      <x:c r="A1" s="3" t="str">
        <x:v>Scenario Analysis</x:v>
      </x:c>
      <x:c r="B1" s="3"/>
      <x:c r="C1" s="3"/>
      <x:c r="D1" s="3"/>
      <x:c r="E1" s="3"/>
      <x:c r="F1" s="3"/>
      <x:c r="G1" s="3"/>
      <x:c r="H1" s="3"/>
    </x:row>
    <x:row r="2" ht="24" customHeight="1">
      <x:c r="A2" s="102" t="str">
        <x:v>Scenarios recalculate volume, price, memberships, operating cost, capex, and cash need</x:v>
      </x:c>
      <x:c r="B2" s="102"/>
      <x:c r="C2" s="102"/>
      <x:c r="D2" s="102"/>
      <x:c r="E2" s="102"/>
      <x:c r="F2" s="102"/>
      <x:c r="G2" s="102"/>
      <x:c r="H2" s="102"/>
    </x:row>
    <x:row r="3" ht="25" customHeight="1">
      <x:c r="A3" s="20" t="str">
        <x:v>Scenario</x:v>
      </x:c>
      <x:c r="B3" s="21" t="str">
        <x:v>Year 5 revenue</x:v>
      </x:c>
      <x:c r="C3" s="21" t="str">
        <x:v>Year 5 EBITDA</x:v>
      </x:c>
      <x:c r="D3" s="21" t="str">
        <x:v>EBITDA margin</x:v>
      </x:c>
      <x:c r="E3" s="21" t="str">
        <x:v>Funding need</x:v>
      </x:c>
      <x:c r="F3" s="22" t="str">
        <x:v>Break-even year</x:v>
      </x:c>
      <x:c r="G3" s="101"/>
      <x:c r="H3" s="101"/>
    </x:row>
    <x:row r="4">
      <x:c r="A4" s="134" t="str">
        <x:v>Downside</x:v>
      </x:c>
      <x:c r="B4" s="135" t="n">
        <x:f>F17</x:f>
        <x:v>1344870.6569375</x:v>
      </x:c>
      <x:c r="C4" s="135" t="n">
        <x:f>F20</x:f>
        <x:v>-610665.7630206423</x:v>
      </x:c>
      <x:c r="D4" s="136" t="n">
        <x:f>C4/B4</x:f>
        <x:v>-0.45407025565657927</x:v>
      </x:c>
      <x:c r="E4" s="135" t="n">
        <x:f>B23</x:f>
        <x:v>5128426.588364988</x:v>
      </x:c>
      <x:c r="F4" s="137" t="str">
        <x:f>IF(B20&gt;0,1,IF(C20&gt;0,2,IF(D20&gt;0,3,IF(E20&gt;0,4,IF(F20&gt;0,5,"Beyond 5")))))</x:f>
        <x:v>Beyond 5</x:v>
      </x:c>
      <x:c r="G4" s="101"/>
      <x:c r="H4" s="101"/>
    </x:row>
    <x:row r="5">
      <x:c r="A5" s="138" t="str">
        <x:v>Base</x:v>
      </x:c>
      <x:c r="B5" s="139" t="n">
        <x:f>F35</x:f>
        <x:v>2009924.2325</x:v>
      </x:c>
      <x:c r="C5" s="139" t="n">
        <x:f>F38</x:f>
        <x:v>74681.2067679998</x:v>
      </x:c>
      <x:c r="D5" s="140" t="n">
        <x:f>C5/B5</x:f>
        <x:v>0.037156229852062246</x:v>
      </x:c>
      <x:c r="E5" s="139" t="n">
        <x:f>B41</x:f>
        <x:v>2648208.5810875</x:v>
      </x:c>
      <x:c r="F5" s="141" t="n">
        <x:f>IF(B38&gt;0,1,IF(C38&gt;0,2,IF(D38&gt;0,3,IF(E38&gt;0,4,IF(F38&gt;0,5,"Beyond 5")))))</x:f>
        <x:v>5</x:v>
      </x:c>
      <x:c r="G5" s="101"/>
      <x:c r="H5" s="101"/>
    </x:row>
    <x:row r="6">
      <x:c r="A6" s="110" t="str">
        <x:v>Upside</x:v>
      </x:c>
      <x:c r="B6" s="142" t="n">
        <x:f>F53</x:f>
        <x:v>2497436.81074375</x:v>
      </x:c>
      <x:c r="C6" s="142" t="n">
        <x:f>F56</x:f>
        <x:v>402388.7821637681</x:v>
      </x:c>
      <x:c r="D6" s="143" t="n">
        <x:f>C6/B6</x:f>
        <x:v>0.16112070601054948</x:v>
      </x:c>
      <x:c r="E6" s="142" t="n">
        <x:f>B59</x:f>
        <x:v>2115709.530816237</x:v>
      </x:c>
      <x:c r="F6" s="144" t="n">
        <x:f>IF(B56&gt;0,1,IF(C56&gt;0,2,IF(D56&gt;0,3,IF(E56&gt;0,4,IF(F56&gt;0,5,"Beyond 5")))))</x:f>
        <x:v>4</x:v>
      </x:c>
      <x:c r="G6" s="101"/>
      <x:c r="H6" s="101"/>
    </x:row>
    <x:row r="7">
      <x:c r="A7" s="101"/>
      <x:c r="B7" s="101"/>
      <x:c r="C7" s="101"/>
      <x:c r="D7" s="101"/>
      <x:c r="E7" s="101"/>
      <x:c r="F7" s="101"/>
      <x:c r="G7" s="101"/>
      <x:c r="H7" s="101"/>
    </x:row>
    <x:row r="8">
      <x:c r="A8" s="101"/>
      <x:c r="B8" s="101"/>
      <x:c r="C8" s="101"/>
      <x:c r="D8" s="101"/>
      <x:c r="E8" s="101"/>
      <x:c r="F8" s="101"/>
      <x:c r="G8" s="101"/>
      <x:c r="H8" s="101"/>
    </x:row>
    <x:row r="9" ht="22" customHeight="1">
      <x:c r="A9" s="8" t="str">
        <x:v>Downside case</x:v>
      </x:c>
      <x:c r="B9" s="8"/>
      <x:c r="C9" s="8"/>
      <x:c r="D9" s="8"/>
      <x:c r="E9" s="8"/>
      <x:c r="F9" s="8"/>
      <x:c r="G9" s="101"/>
      <x:c r="H9" s="101"/>
    </x:row>
    <x:row r="10" ht="25" customHeight="1">
      <x:c r="A10" s="20" t="str">
        <x:v>Metric</x:v>
      </x:c>
      <x:c r="B10" s="21" t="str">
        <x:v>Year 1</x:v>
      </x:c>
      <x:c r="C10" s="21" t="str">
        <x:v>Year 2</x:v>
      </x:c>
      <x:c r="D10" s="21" t="str">
        <x:v>Year 3</x:v>
      </x:c>
      <x:c r="E10" s="21" t="str">
        <x:v>Year 4</x:v>
      </x:c>
      <x:c r="F10" s="22" t="str">
        <x:v>Year 5</x:v>
      </x:c>
      <x:c r="G10" s="101"/>
      <x:c r="H10" s="101"/>
    </x:row>
    <x:row r="11">
      <x:c r="A11" s="101" t="str">
        <x:v>Service revenue</x:v>
      </x:c>
      <x:c r="B11" s="104" t="n">
        <x:f>'Assumptions'!$B$17*'Assumptions'!$B$18*MIN(95%,'Assumptions'!B$20*'Assumptions'!$B$71)*'Assumptions'!$E$14*'Assumptions'!$B$72</x:f>
        <x:v>314532.3234375</x:v>
      </x:c>
      <x:c r="C11" s="104" t="n">
        <x:f>'Assumptions'!$B$17*'Assumptions'!$B$18*MIN(95%,'Assumptions'!C$20*'Assumptions'!$B$71)*'Assumptions'!$E$14*'Assumptions'!$B$72</x:f>
        <x:v>430412.65312499995</x:v>
      </x:c>
      <x:c r="D11" s="104" t="n">
        <x:f>'Assumptions'!$B$17*'Assumptions'!$B$18*MIN(95%,'Assumptions'!D$20*'Assumptions'!$B$71)*'Assumptions'!$E$14*'Assumptions'!$B$72</x:f>
        <x:v>538015.81640625</x:v>
      </x:c>
      <x:c r="E11" s="104" t="n">
        <x:f>'Assumptions'!$B$17*'Assumptions'!$B$18*MIN(95%,'Assumptions'!E$20*'Assumptions'!$B$71)*'Assumptions'!$E$14*'Assumptions'!$B$72</x:f>
        <x:v>620787.48046875</x:v>
      </x:c>
      <x:c r="F11" s="104" t="n">
        <x:f>'Assumptions'!$B$17*'Assumptions'!$B$18*MIN(95%,'Assumptions'!F$20*'Assumptions'!$B$71)*'Assumptions'!$E$14*'Assumptions'!$B$72</x:f>
        <x:v>678727.6453125001</x:v>
      </x:c>
      <x:c r="G11" s="101"/>
      <x:c r="H11" s="101"/>
    </x:row>
    <x:row r="12">
      <x:c r="A12" s="101" t="str">
        <x:v>Membership revenue</x:v>
      </x:c>
      <x:c r="B12" s="104" t="n">
        <x:f>'Assumptions'!B$25*'Assumptions'!$B$73*'Assumptions'!$B$24*'Assumptions'!$B$72*12</x:f>
        <x:v>82328.4</x:v>
      </x:c>
      <x:c r="C12" s="104" t="n">
        <x:f>'Assumptions'!C$25*'Assumptions'!$B$73*'Assumptions'!$B$24*'Assumptions'!$B$72*12</x:f>
        <x:v>134719.19999999998</x:v>
      </x:c>
      <x:c r="D12" s="104" t="n">
        <x:f>'Assumptions'!D$25*'Assumptions'!$B$73*'Assumptions'!$B$24*'Assumptions'!$B$72*12</x:f>
        <x:v>194594.40000000002</x:v>
      </x:c>
      <x:c r="E12" s="104" t="n">
        <x:f>'Assumptions'!E$25*'Assumptions'!$B$73*'Assumptions'!$B$24*'Assumptions'!$B$72*12</x:f>
        <x:v>254469.59999999995</x:v>
      </x:c>
      <x:c r="F12" s="104" t="n">
        <x:f>'Assumptions'!F$25*'Assumptions'!$B$73*'Assumptions'!$B$24*'Assumptions'!$B$72*12</x:f>
        <x:v>314344.80000000005</x:v>
      </x:c>
      <x:c r="G12" s="101"/>
      <x:c r="H12" s="101"/>
    </x:row>
    <x:row r="13">
      <x:c r="A13" s="101" t="str">
        <x:v>Lab / prototype add-ons</x:v>
      </x:c>
      <x:c r="B13" s="104" t="n">
        <x:f>B11*'Assumptions'!$B$27</x:f>
        <x:v>25162.585875</x:v>
      </x:c>
      <x:c r="C13" s="104" t="n">
        <x:f>C11*'Assumptions'!$B$27</x:f>
        <x:v>34433.01225</x:v>
      </x:c>
      <x:c r="D13" s="104" t="n">
        <x:f>D11*'Assumptions'!$B$27</x:f>
        <x:v>43041.2653125</x:v>
      </x:c>
      <x:c r="E13" s="104" t="n">
        <x:f>E11*'Assumptions'!$B$27</x:f>
        <x:v>49662.9984375</x:v>
      </x:c>
      <x:c r="F13" s="104" t="n">
        <x:f>F11*'Assumptions'!$B$27</x:f>
        <x:v>54298.211625</x:v>
      </x:c>
      <x:c r="G13" s="101"/>
      <x:c r="H13" s="101"/>
    </x:row>
    <x:row r="14">
      <x:c r="A14" s="101" t="str">
        <x:v>Events and workshops</x:v>
      </x:c>
      <x:c r="B14" s="104" t="n">
        <x:f>'Assumptions'!B$26*'Assumptions'!$B$73</x:f>
        <x:v>28000</x:v>
      </x:c>
      <x:c r="C14" s="104" t="n">
        <x:f>'Assumptions'!C$26*'Assumptions'!$B$73</x:f>
        <x:v>45500</x:v>
      </x:c>
      <x:c r="D14" s="104" t="n">
        <x:f>'Assumptions'!D$26*'Assumptions'!$B$73</x:f>
        <x:v>62999.99999999999</x:v>
      </x:c>
      <x:c r="E14" s="104" t="n">
        <x:f>'Assumptions'!E$26*'Assumptions'!$B$73</x:f>
        <x:v>77000</x:v>
      </x:c>
      <x:c r="F14" s="104" t="n">
        <x:f>'Assumptions'!F$26*'Assumptions'!$B$73</x:f>
        <x:v>87500</x:v>
      </x:c>
      <x:c r="G14" s="101"/>
      <x:c r="H14" s="101"/>
    </x:row>
    <x:row r="15">
      <x:c r="A15" s="101" t="str">
        <x:v>Rewards fees (gated)</x:v>
      </x:c>
      <x:c r="B15" s="104" t="n">
        <x:f>'Unit Economics'!B$28*'Assumptions'!$B$73</x:f>
        <x:v>0</x:v>
      </x:c>
      <x:c r="C15" s="104" t="n">
        <x:f>'Unit Economics'!C$28*'Assumptions'!$B$73</x:f>
        <x:v>0</x:v>
      </x:c>
      <x:c r="D15" s="104" t="n">
        <x:f>'Unit Economics'!D$28*'Assumptions'!$B$73</x:f>
        <x:v>21000</x:v>
      </x:c>
      <x:c r="E15" s="104" t="n">
        <x:f>'Unit Economics'!E$28*'Assumptions'!$B$73</x:f>
        <x:v>62999.99999999999</x:v>
      </x:c>
      <x:c r="F15" s="104" t="n">
        <x:f>'Unit Economics'!F$28*'Assumptions'!$B$73</x:f>
        <x:v>105000</x:v>
      </x:c>
      <x:c r="G15" s="101"/>
      <x:c r="H15" s="101"/>
    </x:row>
    <x:row r="16">
      <x:c r="A16" s="101" t="str">
        <x:v>Investor memberships (gated)</x:v>
      </x:c>
      <x:c r="B16" s="104" t="n">
        <x:f>'Unit Economics'!B$29*'Assumptions'!$B$73</x:f>
        <x:v>0</x:v>
      </x:c>
      <x:c r="C16" s="104" t="n">
        <x:f>'Unit Economics'!C$29*'Assumptions'!$B$73</x:f>
        <x:v>0</x:v>
      </x:c>
      <x:c r="D16" s="104" t="n">
        <x:f>'Unit Economics'!D$29*'Assumptions'!$B$73</x:f>
        <x:v>0</x:v>
      </x:c>
      <x:c r="E16" s="104" t="n">
        <x:f>'Unit Economics'!E$29*'Assumptions'!$B$73</x:f>
        <x:v>52500</x:v>
      </x:c>
      <x:c r="F16" s="104" t="n">
        <x:f>'Unit Economics'!F$29*'Assumptions'!$B$73</x:f>
        <x:v>105000</x:v>
      </x:c>
      <x:c r="G16" s="101"/>
      <x:c r="H16" s="101"/>
    </x:row>
    <x:row r="17">
      <x:c r="A17" s="117" t="str">
        <x:v>Total revenue</x:v>
      </x:c>
      <x:c r="B17" s="119" t="n">
        <x:f>SUM(B11:B16)</x:f>
        <x:v>450023.30931249994</x:v>
      </x:c>
      <x:c r="C17" s="119" t="n">
        <x:f>SUM(C11:C16)</x:f>
        <x:v>645064.8653749999</x:v>
      </x:c>
      <x:c r="D17" s="119" t="n">
        <x:f>SUM(D11:D16)</x:f>
        <x:v>859651.48171875</x:v>
      </x:c>
      <x:c r="E17" s="119" t="n">
        <x:f>SUM(E11:E16)</x:f>
        <x:v>1117420.07890625</x:v>
      </x:c>
      <x:c r="F17" s="119" t="n">
        <x:f>SUM(F11:F16)</x:f>
        <x:v>1344870.6569375</x:v>
      </x:c>
      <x:c r="G17" s="101"/>
      <x:c r="H17" s="101"/>
    </x:row>
    <x:row r="18">
      <x:c r="A18" s="101" t="str">
        <x:v>Total cost of revenue</x:v>
      </x:c>
      <x:c r="B18" s="104" t="n">
        <x:f>'P&amp;L 5-Year'!B$20*B17/'P&amp;L 5-Year'!B$11</x:f>
        <x:v>60838.81168905917</x:v>
      </x:c>
      <x:c r="C18" s="104" t="n">
        <x:f>'P&amp;L 5-Year'!C$20*C17/'P&amp;L 5-Year'!C$11</x:f>
        <x:v>87512.77080708121</x:v>
      </x:c>
      <x:c r="D18" s="104" t="n">
        <x:f>'P&amp;L 5-Year'!D$20*D17/'P&amp;L 5-Year'!D$11</x:f>
        <x:v>121880.43295010124</x:v>
      </x:c>
      <x:c r="E18" s="104" t="n">
        <x:f>'P&amp;L 5-Year'!E$20*E17/'P&amp;L 5-Year'!E$11</x:f>
        <x:v>172731.22083610384</x:v>
      </x:c>
      <x:c r="F18" s="104" t="n">
        <x:f>'P&amp;L 5-Year'!F$20*F17/'P&amp;L 5-Year'!F$11</x:f>
        <x:v>219072.08197758204</x:v>
      </x:c>
      <x:c r="G18" s="101"/>
      <x:c r="H18" s="101"/>
    </x:row>
    <x:row r="19">
      <x:c r="A19" s="101" t="str">
        <x:v>Operating expenses</x:v>
      </x:c>
      <x:c r="B19" s="104" t="n">
        <x:f>'P&amp;L 5-Year'!B$33*'Assumptions'!$B$74</x:f>
        <x:v>1292976</x:v>
      </x:c>
      <x:c r="C19" s="104" t="n">
        <x:f>'P&amp;L 5-Year'!C$33*'Assumptions'!$B$74</x:f>
        <x:v>1305791.28</x:v>
      </x:c>
      <x:c r="D19" s="104" t="n">
        <x:f>'P&amp;L 5-Year'!D$33*'Assumptions'!$B$74</x:f>
        <x:v>1465827.8184</x:v>
      </x:c>
      <x:c r="E19" s="104" t="n">
        <x:f>'P&amp;L 5-Year'!E$33*'Assumptions'!$B$74</x:f>
        <x:v>1594959.3569520002</x:v>
      </x:c>
      <x:c r="F19" s="104" t="n">
        <x:f>'P&amp;L 5-Year'!F$33*'Assumptions'!$B$74</x:f>
        <x:v>1736464.3379805603</x:v>
      </x:c>
      <x:c r="G19" s="101"/>
      <x:c r="H19" s="101"/>
    </x:row>
    <x:row r="20">
      <x:c r="A20" s="129" t="str">
        <x:v>EBITDA</x:v>
      </x:c>
      <x:c r="B20" s="130" t="n">
        <x:f>B17-B18-B19</x:f>
        <x:v>-903791.5023765592</x:v>
      </x:c>
      <x:c r="C20" s="130" t="n">
        <x:f>C17-C18-C19</x:f>
        <x:v>-748239.1854320813</x:v>
      </x:c>
      <x:c r="D20" s="130" t="n">
        <x:f>D17-D18-D19</x:f>
        <x:v>-728056.7696313512</x:v>
      </x:c>
      <x:c r="E20" s="130" t="n">
        <x:f>E17-E18-E19</x:f>
        <x:v>-650270.4988818541</x:v>
      </x:c>
      <x:c r="F20" s="130" t="n">
        <x:f>F17-F18-F19</x:f>
        <x:v>-610665.7630206423</x:v>
      </x:c>
      <x:c r="G20" s="101"/>
      <x:c r="H20" s="101"/>
    </x:row>
    <x:row r="21">
      <x:c r="A21" s="101" t="str">
        <x:v>Cash flow after tax / NWC / maintenance capex</x:v>
      </x:c>
      <x:c r="B21" s="104" t="n">
        <x:f>B20-MAX(0,B20*'Assumptions'!$B$67)-(B17-0)*'Assumptions'!$B$66-B17*'Assumptions'!$B$65</x:f>
        <x:v>-919542.3182024966</x:v>
      </x:c>
      <x:c r="C21" s="104" t="n">
        <x:f>C20-MAX(0,C20*'Assumptions'!$B$67)-(C17-B17)*'Assumptions'!$B$66-C17*'Assumptions'!$B$65</x:f>
        <x:v>-761815.9895339564</x:v>
      </x:c>
      <x:c r="D21" s="104" t="n">
        <x:f>D20-MAX(0,D20*'Assumptions'!$B$67)-(D17-C17)*'Assumptions'!$B$66-D17*'Assumptions'!$B$65</x:f>
        <x:v>-745243.2741840074</x:v>
      </x:c>
      <x:c r="E21" s="104" t="n">
        <x:f>E20-MAX(0,E20*'Assumptions'!$B$67)-(E17-D17)*'Assumptions'!$B$66-E17*'Assumptions'!$B$65</x:f>
        <x:v>-672187.1720091978</x:v>
      </x:c>
      <x:c r="F21" s="104" t="n">
        <x:f>F20-MAX(0,F20*'Assumptions'!$B$67)-(F17-E17)*'Assumptions'!$B$66-F17*'Assumptions'!$B$65</x:f>
        <x:v>-635387.8344353299</x:v>
      </x:c>
      <x:c r="G21" s="101"/>
      <x:c r="H21" s="101"/>
    </x:row>
    <x:row r="22">
      <x:c r="A22" s="101" t="str">
        <x:v>Cumulative pre-financing cash flow</x:v>
      </x:c>
      <x:c r="B22" s="104" t="n">
        <x:f>-('Cash Flow'!$B$24*'Assumptions'!$B$75)+B21</x:f>
        <x:v>-2063792.3182024965</x:v>
      </x:c>
      <x:c r="C22" s="104" t="n">
        <x:f>B22+C21</x:f>
        <x:v>-2825608.3077364527</x:v>
      </x:c>
      <x:c r="D22" s="104" t="n">
        <x:f>C22+D21</x:f>
        <x:v>-3570851.58192046</x:v>
      </x:c>
      <x:c r="E22" s="104" t="n">
        <x:f>D22+E21</x:f>
        <x:v>-4243038.753929658</x:v>
      </x:c>
      <x:c r="F22" s="104" t="n">
        <x:f>E22+F21</x:f>
        <x:v>-4878426.588364988</x:v>
      </x:c>
      <x:c r="G22" s="101"/>
      <x:c r="H22" s="101"/>
    </x:row>
    <x:row r="23">
      <x:c r="A23" s="117" t="str">
        <x:v>Funding need</x:v>
      </x:c>
      <x:c r="B23" s="119" t="n">
        <x:f>-MIN(B22:F22)+'Assumptions'!$B$53</x:f>
        <x:v>5128426.588364988</x:v>
      </x:c>
      <x:c r="C23" s="119"/>
      <x:c r="D23" s="119"/>
      <x:c r="E23" s="119"/>
      <x:c r="F23" s="119"/>
      <x:c r="G23" s="101"/>
      <x:c r="H23" s="101"/>
    </x:row>
    <x:row r="24">
      <x:c r="A24" s="101"/>
      <x:c r="B24" s="101"/>
      <x:c r="C24" s="101"/>
      <x:c r="D24" s="101"/>
      <x:c r="E24" s="101"/>
      <x:c r="F24" s="101"/>
      <x:c r="G24" s="101"/>
      <x:c r="H24" s="101"/>
    </x:row>
    <x:row r="25">
      <x:c r="A25" s="101"/>
      <x:c r="B25" s="101"/>
      <x:c r="C25" s="101"/>
      <x:c r="D25" s="101"/>
      <x:c r="E25" s="101"/>
      <x:c r="F25" s="101"/>
      <x:c r="G25" s="101"/>
      <x:c r="H25" s="101"/>
    </x:row>
    <x:row r="26">
      <x:c r="A26" s="101"/>
      <x:c r="B26" s="101"/>
      <x:c r="C26" s="101"/>
      <x:c r="D26" s="101"/>
      <x:c r="E26" s="101"/>
      <x:c r="F26" s="101"/>
      <x:c r="G26" s="101"/>
      <x:c r="H26" s="101"/>
    </x:row>
    <x:row r="27" ht="22" customHeight="1">
      <x:c r="A27" s="8" t="str">
        <x:v>Base case</x:v>
      </x:c>
      <x:c r="B27" s="8"/>
      <x:c r="C27" s="8"/>
      <x:c r="D27" s="8"/>
      <x:c r="E27" s="8"/>
      <x:c r="F27" s="8"/>
      <x:c r="G27" s="101"/>
      <x:c r="H27" s="101"/>
    </x:row>
    <x:row r="28" ht="25" customHeight="1">
      <x:c r="A28" s="20" t="str">
        <x:v>Metric</x:v>
      </x:c>
      <x:c r="B28" s="21" t="str">
        <x:v>Year 1</x:v>
      </x:c>
      <x:c r="C28" s="21" t="str">
        <x:v>Year 2</x:v>
      </x:c>
      <x:c r="D28" s="21" t="str">
        <x:v>Year 3</x:v>
      </x:c>
      <x:c r="E28" s="21" t="str">
        <x:v>Year 4</x:v>
      </x:c>
      <x:c r="F28" s="22" t="str">
        <x:v>Year 5</x:v>
      </x:c>
      <x:c r="G28" s="101"/>
      <x:c r="H28" s="101"/>
    </x:row>
    <x:row r="29">
      <x:c r="A29" s="101" t="str">
        <x:v>Service revenue</x:v>
      </x:c>
      <x:c r="B29" s="104" t="n">
        <x:f>'Assumptions'!$B$17*'Assumptions'!$B$18*MIN(95%,'Assumptions'!B$20*'Assumptions'!$C$71)*'Assumptions'!$E$14*'Assumptions'!$C$72</x:f>
        <x:v>465973.81249999994</x:v>
      </x:c>
      <x:c r="C29" s="104" t="n">
        <x:f>'Assumptions'!$B$17*'Assumptions'!$B$18*MIN(95%,'Assumptions'!C$20*'Assumptions'!$C$71)*'Assumptions'!$E$14*'Assumptions'!$C$72</x:f>
        <x:v>637648.375</x:v>
      </x:c>
      <x:c r="D29" s="104" t="n">
        <x:f>'Assumptions'!$B$17*'Assumptions'!$B$18*MIN(95%,'Assumptions'!D$20*'Assumptions'!$C$71)*'Assumptions'!$E$14*'Assumptions'!$C$72</x:f>
        <x:v>797060.46875</x:v>
      </x:c>
      <x:c r="E29" s="104" t="n">
        <x:f>'Assumptions'!$B$17*'Assumptions'!$B$18*MIN(95%,'Assumptions'!E$20*'Assumptions'!$C$71)*'Assumptions'!$E$14*'Assumptions'!$C$72</x:f>
        <x:v>919685.1562499999</x:v>
      </x:c>
      <x:c r="F29" s="104" t="n">
        <x:f>'Assumptions'!$B$17*'Assumptions'!$B$18*MIN(95%,'Assumptions'!F$20*'Assumptions'!$C$71)*'Assumptions'!$E$14*'Assumptions'!$C$72</x:f>
        <x:v>1005522.4374999999</x:v>
      </x:c>
      <x:c r="G29" s="101"/>
      <x:c r="H29" s="101"/>
    </x:row>
    <x:row r="30">
      <x:c r="A30" s="101" t="str">
        <x:v>Membership revenue</x:v>
      </x:c>
      <x:c r="B30" s="104" t="n">
        <x:f>'Assumptions'!B$25*'Assumptions'!$C$73*'Assumptions'!$B$24*'Assumptions'!$C$72*12</x:f>
        <x:v>130680</x:v>
      </x:c>
      <x:c r="C30" s="104" t="n">
        <x:f>'Assumptions'!C$25*'Assumptions'!$C$73*'Assumptions'!$B$24*'Assumptions'!$C$72*12</x:f>
        <x:v>213840</x:v>
      </x:c>
      <x:c r="D30" s="104" t="n">
        <x:f>'Assumptions'!D$25*'Assumptions'!$C$73*'Assumptions'!$B$24*'Assumptions'!$C$72*12</x:f>
        <x:v>308880</x:v>
      </x:c>
      <x:c r="E30" s="104" t="n">
        <x:f>'Assumptions'!E$25*'Assumptions'!$C$73*'Assumptions'!$B$24*'Assumptions'!$C$72*12</x:f>
        <x:v>403920</x:v>
      </x:c>
      <x:c r="F30" s="104" t="n">
        <x:f>'Assumptions'!F$25*'Assumptions'!$C$73*'Assumptions'!$B$24*'Assumptions'!$C$72*12</x:f>
        <x:v>498960</x:v>
      </x:c>
      <x:c r="G30" s="101"/>
      <x:c r="H30" s="101"/>
    </x:row>
    <x:row r="31">
      <x:c r="A31" s="101" t="str">
        <x:v>Lab / prototype add-ons</x:v>
      </x:c>
      <x:c r="B31" s="104" t="n">
        <x:f>B29*'Assumptions'!$B$27</x:f>
        <x:v>37277.905</x:v>
      </x:c>
      <x:c r="C31" s="104" t="n">
        <x:f>C29*'Assumptions'!$B$27</x:f>
        <x:v>51011.87</x:v>
      </x:c>
      <x:c r="D31" s="104" t="n">
        <x:f>D29*'Assumptions'!$B$27</x:f>
        <x:v>63764.8375</x:v>
      </x:c>
      <x:c r="E31" s="104" t="n">
        <x:f>E29*'Assumptions'!$B$27</x:f>
        <x:v>73574.81249999999</x:v>
      </x:c>
      <x:c r="F31" s="104" t="n">
        <x:f>F29*'Assumptions'!$B$27</x:f>
        <x:v>80441.795</x:v>
      </x:c>
      <x:c r="G31" s="101"/>
      <x:c r="H31" s="101"/>
    </x:row>
    <x:row r="32">
      <x:c r="A32" s="101" t="str">
        <x:v>Events and workshops</x:v>
      </x:c>
      <x:c r="B32" s="104" t="n">
        <x:f>'Assumptions'!B$26*'Assumptions'!$C$73</x:f>
        <x:v>40000</x:v>
      </x:c>
      <x:c r="C32" s="104" t="n">
        <x:f>'Assumptions'!C$26*'Assumptions'!$C$73</x:f>
        <x:v>65000</x:v>
      </x:c>
      <x:c r="D32" s="104" t="n">
        <x:f>'Assumptions'!D$26*'Assumptions'!$C$73</x:f>
        <x:v>90000</x:v>
      </x:c>
      <x:c r="E32" s="104" t="n">
        <x:f>'Assumptions'!E$26*'Assumptions'!$C$73</x:f>
        <x:v>110000</x:v>
      </x:c>
      <x:c r="F32" s="104" t="n">
        <x:f>'Assumptions'!F$26*'Assumptions'!$C$73</x:f>
        <x:v>125000</x:v>
      </x:c>
      <x:c r="G32" s="101"/>
      <x:c r="H32" s="101"/>
    </x:row>
    <x:row r="33">
      <x:c r="A33" s="101" t="str">
        <x:v>Rewards fees (gated)</x:v>
      </x:c>
      <x:c r="B33" s="104" t="n">
        <x:f>'Unit Economics'!B$28*'Assumptions'!$C$73</x:f>
        <x:v>0</x:v>
      </x:c>
      <x:c r="C33" s="104" t="n">
        <x:f>'Unit Economics'!C$28*'Assumptions'!$C$73</x:f>
        <x:v>0</x:v>
      </x:c>
      <x:c r="D33" s="104" t="n">
        <x:f>'Unit Economics'!D$28*'Assumptions'!$C$73</x:f>
        <x:v>30000</x:v>
      </x:c>
      <x:c r="E33" s="104" t="n">
        <x:f>'Unit Economics'!E$28*'Assumptions'!$C$73</x:f>
        <x:v>90000</x:v>
      </x:c>
      <x:c r="F33" s="104" t="n">
        <x:f>'Unit Economics'!F$28*'Assumptions'!$C$73</x:f>
        <x:v>150000</x:v>
      </x:c>
      <x:c r="G33" s="101"/>
      <x:c r="H33" s="101"/>
    </x:row>
    <x:row r="34">
      <x:c r="A34" s="101" t="str">
        <x:v>Investor memberships (gated)</x:v>
      </x:c>
      <x:c r="B34" s="104" t="n">
        <x:f>'Unit Economics'!B$29*'Assumptions'!$C$73</x:f>
        <x:v>0</x:v>
      </x:c>
      <x:c r="C34" s="104" t="n">
        <x:f>'Unit Economics'!C$29*'Assumptions'!$C$73</x:f>
        <x:v>0</x:v>
      </x:c>
      <x:c r="D34" s="104" t="n">
        <x:f>'Unit Economics'!D$29*'Assumptions'!$C$73</x:f>
        <x:v>0</x:v>
      </x:c>
      <x:c r="E34" s="104" t="n">
        <x:f>'Unit Economics'!E$29*'Assumptions'!$C$73</x:f>
        <x:v>75000</x:v>
      </x:c>
      <x:c r="F34" s="104" t="n">
        <x:f>'Unit Economics'!F$29*'Assumptions'!$C$73</x:f>
        <x:v>150000</x:v>
      </x:c>
      <x:c r="G34" s="101"/>
      <x:c r="H34" s="101"/>
    </x:row>
    <x:row r="35">
      <x:c r="A35" s="117" t="str">
        <x:v>Total revenue</x:v>
      </x:c>
      <x:c r="B35" s="119" t="n">
        <x:f>SUM(B29:B34)</x:f>
        <x:v>673931.7175</x:v>
      </x:c>
      <x:c r="C35" s="119" t="n">
        <x:f>SUM(C29:C34)</x:f>
        <x:v>967500.245</x:v>
      </x:c>
      <x:c r="D35" s="119" t="n">
        <x:f>SUM(D29:D34)</x:f>
        <x:v>1289705.30625</x:v>
      </x:c>
      <x:c r="E35" s="119" t="n">
        <x:f>SUM(E29:E34)</x:f>
        <x:v>1672179.96875</x:v>
      </x:c>
      <x:c r="F35" s="119" t="n">
        <x:f>SUM(F29:F34)</x:f>
        <x:v>2009924.2325</x:v>
      </x:c>
      <x:c r="G35" s="101"/>
      <x:c r="H35" s="101"/>
    </x:row>
    <x:row r="36">
      <x:c r="A36" s="101" t="str">
        <x:v>Total cost of revenue</x:v>
      </x:c>
      <x:c r="B36" s="104" t="n">
        <x:f>'P&amp;L 5-Year'!B$20*B35/'P&amp;L 5-Year'!B$11</x:f>
        <x:v>91109.06924999999</x:v>
      </x:c>
      <x:c r="C36" s="104" t="n">
        <x:f>'P&amp;L 5-Year'!C$20*C35/'P&amp;L 5-Year'!C$11</x:f>
        <x:v>131255.98950000003</x:v>
      </x:c>
      <x:c r="D36" s="104" t="n">
        <x:f>'P&amp;L 5-Year'!D$20*D35/'P&amp;L 5-Year'!D$11</x:f>
        <x:v>182852.986875</x:v>
      </x:c>
      <x:c r="E36" s="104" t="n">
        <x:f>'P&amp;L 5-Year'!E$20*E35/'P&amp;L 5-Year'!E$11</x:f>
        <x:v>258486.215625</x:v>
      </x:c>
      <x:c r="F36" s="104" t="n">
        <x:f>'P&amp;L 5-Year'!F$20*F35/'P&amp;L 5-Year'!F$11</x:f>
        <x:v>327405.67575</x:v>
      </x:c>
      <x:c r="G36" s="101"/>
      <x:c r="H36" s="101"/>
    </x:row>
    <x:row r="37">
      <x:c r="A37" s="101" t="str">
        <x:v>Operating expenses</x:v>
      </x:c>
      <x:c r="B37" s="104" t="n">
        <x:f>'P&amp;L 5-Year'!B$33*'Assumptions'!$C$74</x:f>
        <x:v>1197200</x:v>
      </x:c>
      <x:c r="C37" s="104" t="n">
        <x:f>'P&amp;L 5-Year'!C$33*'Assumptions'!$C$74</x:f>
        <x:v>1209066</x:v>
      </x:c>
      <x:c r="D37" s="104" t="n">
        <x:f>'P&amp;L 5-Year'!D$33*'Assumptions'!$C$74</x:f>
        <x:v>1357247.98</x:v>
      </x:c>
      <x:c r="E37" s="104" t="n">
        <x:f>'P&amp;L 5-Year'!E$33*'Assumptions'!$C$74</x:f>
        <x:v>1476814.2194</x:v>
      </x:c>
      <x:c r="F37" s="104" t="n">
        <x:f>'P&amp;L 5-Year'!F$33*'Assumptions'!$C$74</x:f>
        <x:v>1607837.3499820002</x:v>
      </x:c>
      <x:c r="G37" s="101"/>
      <x:c r="H37" s="101"/>
    </x:row>
    <x:row r="38">
      <x:c r="A38" s="129" t="str">
        <x:v>EBITDA</x:v>
      </x:c>
      <x:c r="B38" s="130" t="n">
        <x:f>B35-B36-B37</x:f>
        <x:v>-614377.3517499999</x:v>
      </x:c>
      <x:c r="C38" s="130" t="n">
        <x:f>C35-C36-C37</x:f>
        <x:v>-372821.74450000003</x:v>
      </x:c>
      <x:c r="D38" s="130" t="n">
        <x:f>D35-D36-D37</x:f>
        <x:v>-250395.66062500002</x:v>
      </x:c>
      <x:c r="E38" s="130" t="n">
        <x:f>E35-E36-E37</x:f>
        <x:v>-63120.46627500001</x:v>
      </x:c>
      <x:c r="F38" s="130" t="n">
        <x:f>F35-F36-F37</x:f>
        <x:v>74681.2067679998</x:v>
      </x:c>
      <x:c r="G38" s="101"/>
      <x:c r="H38" s="101"/>
    </x:row>
    <x:row r="39">
      <x:c r="A39" s="101" t="str">
        <x:v>Cash flow after tax / NWC / maintenance capex</x:v>
      </x:c>
      <x:c r="B39" s="104" t="n">
        <x:f>B38-MAX(0,B38*'Assumptions'!$B$67)-(B35-0)*'Assumptions'!$B$66-B35*'Assumptions'!$B$65</x:f>
        <x:v>-637964.9618624998</x:v>
      </x:c>
      <x:c r="C39" s="104" t="n">
        <x:f>C38-MAX(0,C38*'Assumptions'!$B$67)-(C35-B35)*'Assumptions'!$B$66-C35*'Assumptions'!$B$65</x:f>
        <x:v>-393205.618725</x:v>
      </x:c>
      <x:c r="D39" s="104" t="n">
        <x:f>D38-MAX(0,D38*'Assumptions'!$B$67)-(D35-C35)*'Assumptions'!$B$66-D35*'Assumptions'!$B$65</x:f>
        <x:v>-276185.34144375</x:v>
      </x:c>
      <x:c r="E39" s="104" t="n">
        <x:f>E38-MAX(0,E38*'Assumptions'!$B$67)-(E35-D35)*'Assumptions'!$B$66-E35*'Assumptions'!$B$65</x:f>
        <x:v>-95852.65905625</x:v>
      </x:c>
      <x:c r="F39" s="104" t="n">
        <x:f>F38-MAX(0,F38*'Assumptions'!$B$67)-(F35-E35)*'Assumptions'!$B$66-F35*'Assumptions'!$B$65</x:f>
        <x:v>19107.15631349985</x:v>
      </x:c>
      <x:c r="G39" s="101"/>
      <x:c r="H39" s="101"/>
    </x:row>
    <x:row r="40">
      <x:c r="A40" s="101" t="str">
        <x:v>Cumulative pre-financing cash flow</x:v>
      </x:c>
      <x:c r="B40" s="104" t="n">
        <x:f>-('Cash Flow'!$B$24*'Assumptions'!$C$75)+B39</x:f>
        <x:v>-1632964.9618624998</x:v>
      </x:c>
      <x:c r="C40" s="104" t="n">
        <x:f>B40+C39</x:f>
        <x:v>-2026170.5805874998</x:v>
      </x:c>
      <x:c r="D40" s="104" t="n">
        <x:f>C40+D39</x:f>
        <x:v>-2302355.92203125</x:v>
      </x:c>
      <x:c r="E40" s="104" t="n">
        <x:f>D40+E39</x:f>
        <x:v>-2398208.5810875</x:v>
      </x:c>
      <x:c r="F40" s="104" t="n">
        <x:f>E40+F39</x:f>
        <x:v>-2379101.424774</x:v>
      </x:c>
      <x:c r="G40" s="101"/>
      <x:c r="H40" s="101"/>
    </x:row>
    <x:row r="41">
      <x:c r="A41" s="117" t="str">
        <x:v>Funding need</x:v>
      </x:c>
      <x:c r="B41" s="119" t="n">
        <x:f>-MIN(B40:F40)+'Assumptions'!$B$53</x:f>
        <x:v>2648208.5810875</x:v>
      </x:c>
      <x:c r="C41" s="119"/>
      <x:c r="D41" s="119"/>
      <x:c r="E41" s="119"/>
      <x:c r="F41" s="119"/>
      <x:c r="G41" s="101"/>
      <x:c r="H41" s="101"/>
    </x:row>
    <x:row r="42">
      <x:c r="A42" s="101"/>
      <x:c r="B42" s="101"/>
      <x:c r="C42" s="101"/>
      <x:c r="D42" s="101"/>
      <x:c r="E42" s="101"/>
      <x:c r="F42" s="101"/>
      <x:c r="G42" s="101"/>
      <x:c r="H42" s="101"/>
    </x:row>
    <x:row r="43">
      <x:c r="A43" s="101"/>
      <x:c r="B43" s="101"/>
      <x:c r="C43" s="101"/>
      <x:c r="D43" s="101"/>
      <x:c r="E43" s="101"/>
      <x:c r="F43" s="101"/>
      <x:c r="G43" s="101"/>
      <x:c r="H43" s="101"/>
    </x:row>
    <x:row r="44">
      <x:c r="A44" s="101"/>
      <x:c r="B44" s="101"/>
      <x:c r="C44" s="101"/>
      <x:c r="D44" s="101"/>
      <x:c r="E44" s="101"/>
      <x:c r="F44" s="101"/>
      <x:c r="G44" s="101"/>
      <x:c r="H44" s="101"/>
    </x:row>
    <x:row r="45" ht="22" customHeight="1">
      <x:c r="A45" s="8" t="str">
        <x:v>Upside case</x:v>
      </x:c>
      <x:c r="B45" s="8"/>
      <x:c r="C45" s="8"/>
      <x:c r="D45" s="8"/>
      <x:c r="E45" s="8"/>
      <x:c r="F45" s="8"/>
      <x:c r="G45" s="101"/>
      <x:c r="H45" s="101"/>
    </x:row>
    <x:row r="46" ht="25" customHeight="1">
      <x:c r="A46" s="20" t="str">
        <x:v>Metric</x:v>
      </x:c>
      <x:c r="B46" s="21" t="str">
        <x:v>Year 1</x:v>
      </x:c>
      <x:c r="C46" s="21" t="str">
        <x:v>Year 2</x:v>
      </x:c>
      <x:c r="D46" s="21" t="str">
        <x:v>Year 3</x:v>
      </x:c>
      <x:c r="E46" s="21" t="str">
        <x:v>Year 4</x:v>
      </x:c>
      <x:c r="F46" s="22" t="str">
        <x:v>Year 5</x:v>
      </x:c>
      <x:c r="G46" s="101"/>
      <x:c r="H46" s="101"/>
    </x:row>
    <x:row r="47">
      <x:c r="A47" s="101" t="str">
        <x:v>Service revenue</x:v>
      </x:c>
      <x:c r="B47" s="104" t="n">
        <x:f>'Assumptions'!$B$17*'Assumptions'!$B$18*MIN(95%,'Assumptions'!B$20*'Assumptions'!$D$71)*'Assumptions'!$E$14*'Assumptions'!$D$72</x:f>
        <x:v>562663.37859375</x:v>
      </x:c>
      <x:c r="C47" s="104" t="n">
        <x:f>'Assumptions'!$B$17*'Assumptions'!$B$18*MIN(95%,'Assumptions'!C$20*'Assumptions'!$D$71)*'Assumptions'!$E$14*'Assumptions'!$D$72</x:f>
        <x:v>769960.4128125</x:v>
      </x:c>
      <x:c r="D47" s="104" t="n">
        <x:f>'Assumptions'!$B$17*'Assumptions'!$B$18*MIN(95%,'Assumptions'!D$20*'Assumptions'!$D$71)*'Assumptions'!$E$14*'Assumptions'!$D$72</x:f>
        <x:v>962450.5160156249</x:v>
      </x:c>
      <x:c r="E47" s="104" t="n">
        <x:f>'Assumptions'!$B$17*'Assumptions'!$B$18*MIN(95%,'Assumptions'!E$20*'Assumptions'!$D$71)*'Assumptions'!$E$14*'Assumptions'!$D$72</x:f>
        <x:v>1110519.8261718748</x:v>
      </x:c>
      <x:c r="F47" s="104" t="n">
        <x:f>'Assumptions'!$B$17*'Assumptions'!$B$18*MIN(95%,'Assumptions'!F$20*'Assumptions'!$D$71)*'Assumptions'!$E$14*'Assumptions'!$D$72</x:f>
        <x:v>1214168.34328125</x:v>
      </x:c>
      <x:c r="G47" s="101"/>
      <x:c r="H47" s="101"/>
    </x:row>
    <x:row r="48">
      <x:c r="A48" s="101" t="str">
        <x:v>Membership revenue</x:v>
      </x:c>
      <x:c r="B48" s="104" t="n">
        <x:f>'Assumptions'!B$25*'Assumptions'!$D$73*'Assumptions'!$B$24*'Assumptions'!$D$72*12</x:f>
        <x:v>171517.5</x:v>
      </x:c>
      <x:c r="C48" s="104" t="n">
        <x:f>'Assumptions'!C$25*'Assumptions'!$D$73*'Assumptions'!$B$24*'Assumptions'!$D$72*12</x:f>
        <x:v>280665</x:v>
      </x:c>
      <x:c r="D48" s="104" t="n">
        <x:f>'Assumptions'!D$25*'Assumptions'!$D$73*'Assumptions'!$B$24*'Assumptions'!$D$72*12</x:f>
        <x:v>405405</x:v>
      </x:c>
      <x:c r="E48" s="104" t="n">
        <x:f>'Assumptions'!E$25*'Assumptions'!$D$73*'Assumptions'!$B$24*'Assumptions'!$D$72*12</x:f>
        <x:v>530145</x:v>
      </x:c>
      <x:c r="F48" s="104" t="n">
        <x:f>'Assumptions'!F$25*'Assumptions'!$D$73*'Assumptions'!$B$24*'Assumptions'!$D$72*12</x:f>
        <x:v>654885</x:v>
      </x:c>
      <x:c r="G48" s="101"/>
      <x:c r="H48" s="101"/>
    </x:row>
    <x:row r="49">
      <x:c r="A49" s="101" t="str">
        <x:v>Lab / prototype add-ons</x:v>
      </x:c>
      <x:c r="B49" s="104" t="n">
        <x:f>B47*'Assumptions'!$B$27</x:f>
        <x:v>45013.0702875</x:v>
      </x:c>
      <x:c r="C49" s="104" t="n">
        <x:f>C47*'Assumptions'!$B$27</x:f>
        <x:v>61596.833025</x:v>
      </x:c>
      <x:c r="D49" s="104" t="n">
        <x:f>D47*'Assumptions'!$B$27</x:f>
        <x:v>76996.04128124999</x:v>
      </x:c>
      <x:c r="E49" s="104" t="n">
        <x:f>E47*'Assumptions'!$B$27</x:f>
        <x:v>88841.58609374998</x:v>
      </x:c>
      <x:c r="F49" s="104" t="n">
        <x:f>F47*'Assumptions'!$B$27</x:f>
        <x:v>97133.4674625</x:v>
      </x:c>
      <x:c r="G49" s="101"/>
      <x:c r="H49" s="101"/>
    </x:row>
    <x:row r="50">
      <x:c r="A50" s="101" t="str">
        <x:v>Events and workshops</x:v>
      </x:c>
      <x:c r="B50" s="104" t="n">
        <x:f>'Assumptions'!B$26*'Assumptions'!$D$73</x:f>
        <x:v>50000</x:v>
      </x:c>
      <x:c r="C50" s="104" t="n">
        <x:f>'Assumptions'!C$26*'Assumptions'!$D$73</x:f>
        <x:v>81250</x:v>
      </x:c>
      <x:c r="D50" s="104" t="n">
        <x:f>'Assumptions'!D$26*'Assumptions'!$D$73</x:f>
        <x:v>112500</x:v>
      </x:c>
      <x:c r="E50" s="104" t="n">
        <x:f>'Assumptions'!E$26*'Assumptions'!$D$73</x:f>
        <x:v>137500</x:v>
      </x:c>
      <x:c r="F50" s="104" t="n">
        <x:f>'Assumptions'!F$26*'Assumptions'!$D$73</x:f>
        <x:v>156250</x:v>
      </x:c>
      <x:c r="G50" s="101"/>
      <x:c r="H50" s="101"/>
    </x:row>
    <x:row r="51">
      <x:c r="A51" s="101" t="str">
        <x:v>Rewards fees (gated)</x:v>
      </x:c>
      <x:c r="B51" s="104" t="n">
        <x:f>'Unit Economics'!B$28*'Assumptions'!$D$73</x:f>
        <x:v>0</x:v>
      </x:c>
      <x:c r="C51" s="104" t="n">
        <x:f>'Unit Economics'!C$28*'Assumptions'!$D$73</x:f>
        <x:v>0</x:v>
      </x:c>
      <x:c r="D51" s="104" t="n">
        <x:f>'Unit Economics'!D$28*'Assumptions'!$D$73</x:f>
        <x:v>37500</x:v>
      </x:c>
      <x:c r="E51" s="104" t="n">
        <x:f>'Unit Economics'!E$28*'Assumptions'!$D$73</x:f>
        <x:v>112500</x:v>
      </x:c>
      <x:c r="F51" s="104" t="n">
        <x:f>'Unit Economics'!F$28*'Assumptions'!$D$73</x:f>
        <x:v>187500</x:v>
      </x:c>
      <x:c r="G51" s="101"/>
      <x:c r="H51" s="101"/>
    </x:row>
    <x:row r="52">
      <x:c r="A52" s="101" t="str">
        <x:v>Investor memberships (gated)</x:v>
      </x:c>
      <x:c r="B52" s="104" t="n">
        <x:f>'Unit Economics'!B$29*'Assumptions'!$D$73</x:f>
        <x:v>0</x:v>
      </x:c>
      <x:c r="C52" s="104" t="n">
        <x:f>'Unit Economics'!C$29*'Assumptions'!$D$73</x:f>
        <x:v>0</x:v>
      </x:c>
      <x:c r="D52" s="104" t="n">
        <x:f>'Unit Economics'!D$29*'Assumptions'!$D$73</x:f>
        <x:v>0</x:v>
      </x:c>
      <x:c r="E52" s="104" t="n">
        <x:f>'Unit Economics'!E$29*'Assumptions'!$D$73</x:f>
        <x:v>93750</x:v>
      </x:c>
      <x:c r="F52" s="104" t="n">
        <x:f>'Unit Economics'!F$29*'Assumptions'!$D$73</x:f>
        <x:v>187500</x:v>
      </x:c>
      <x:c r="G52" s="101"/>
      <x:c r="H52" s="101"/>
    </x:row>
    <x:row r="53">
      <x:c r="A53" s="117" t="str">
        <x:v>Total revenue</x:v>
      </x:c>
      <x:c r="B53" s="119" t="n">
        <x:f>SUM(B47:B52)</x:f>
        <x:v>829193.94888125</x:v>
      </x:c>
      <x:c r="C53" s="119" t="n">
        <x:f>SUM(C47:C52)</x:f>
        <x:v>1193472.2458375</x:v>
      </x:c>
      <x:c r="D53" s="119" t="n">
        <x:f>SUM(D47:D52)</x:f>
        <x:v>1594851.557296875</x:v>
      </x:c>
      <x:c r="E53" s="119" t="n">
        <x:f>SUM(E47:E52)</x:f>
        <x:v>2073256.4122656249</x:v>
      </x:c>
      <x:c r="F53" s="119" t="n">
        <x:f>SUM(F47:F52)</x:f>
        <x:v>2497436.81074375</x:v>
      </x:c>
      <x:c r="G53" s="101"/>
      <x:c r="H53" s="101"/>
    </x:row>
    <x:row r="54">
      <x:c r="A54" s="101" t="str">
        <x:v>Total cost of revenue</x:v>
      </x:c>
      <x:c r="B54" s="104" t="n">
        <x:f>'P&amp;L 5-Year'!B$20*B53/'P&amp;L 5-Year'!B$11</x:f>
        <x:v>112099.02568549573</x:v>
      </x:c>
      <x:c r="C54" s="104" t="n">
        <x:f>'P&amp;L 5-Year'!C$20*C53/'P&amp;L 5-Year'!C$11</x:f>
        <x:v>161912.4970538776</x:v>
      </x:c>
      <x:c r="D54" s="104" t="n">
        <x:f>'P&amp;L 5-Year'!D$20*D53/'P&amp;L 5-Year'!D$11</x:f>
        <x:v>226116.28366631665</x:v>
      </x:c>
      <x:c r="E54" s="104" t="n">
        <x:f>'P&amp;L 5-Year'!E$20*E53/'P&amp;L 5-Year'!E$11</x:f>
        <x:v>320484.76482313813</x:v>
      </x:c>
      <x:c r="F54" s="104" t="n">
        <x:f>'P&amp;L 5-Year'!F$20*F53/'P&amp;L 5-Year'!F$11</x:f>
        <x:v>406818.8110988817</x:v>
      </x:c>
      <x:c r="G54" s="101"/>
      <x:c r="H54" s="101"/>
    </x:row>
    <x:row r="55">
      <x:c r="A55" s="101" t="str">
        <x:v>Operating expenses</x:v>
      </x:c>
      <x:c r="B55" s="104" t="n">
        <x:f>'P&amp;L 5-Year'!B$33*'Assumptions'!$D$74</x:f>
        <x:v>1257060</x:v>
      </x:c>
      <x:c r="C55" s="104" t="n">
        <x:f>'P&amp;L 5-Year'!C$33*'Assumptions'!$D$74</x:f>
        <x:v>1269519.3</x:v>
      </x:c>
      <x:c r="D55" s="104" t="n">
        <x:f>'P&amp;L 5-Year'!D$33*'Assumptions'!$D$74</x:f>
        <x:v>1425110.379</x:v>
      </x:c>
      <x:c r="E55" s="104" t="n">
        <x:f>'P&amp;L 5-Year'!E$33*'Assumptions'!$D$74</x:f>
        <x:v>1550654.9303700002</x:v>
      </x:c>
      <x:c r="F55" s="104" t="n">
        <x:f>'P&amp;L 5-Year'!F$33*'Assumptions'!$D$74</x:f>
        <x:v>1688229.2174811002</x:v>
      </x:c>
      <x:c r="G55" s="101"/>
      <x:c r="H55" s="101"/>
    </x:row>
    <x:row r="56">
      <x:c r="A56" s="129" t="str">
        <x:v>EBITDA</x:v>
      </x:c>
      <x:c r="B56" s="130" t="n">
        <x:f>B53-B54-B55</x:f>
        <x:v>-539965.0768042457</x:v>
      </x:c>
      <x:c r="C56" s="130" t="n">
        <x:f>C53-C54-C55</x:f>
        <x:v>-237959.55121637753</x:v>
      </x:c>
      <x:c r="D56" s="130" t="n">
        <x:f>D53-D54-D55</x:f>
        <x:v>-56375.10536944168</x:v>
      </x:c>
      <x:c r="E56" s="130" t="n">
        <x:f>E53-E54-E55</x:f>
        <x:v>202116.7170724864</x:v>
      </x:c>
      <x:c r="F56" s="130" t="n">
        <x:f>F53-F54-F55</x:f>
        <x:v>402388.7821637681</x:v>
      </x:c>
      <x:c r="G56" s="101"/>
      <x:c r="H56" s="101"/>
    </x:row>
    <x:row r="57">
      <x:c r="A57" s="101" t="str">
        <x:v>Cash flow after tax / NWC / maintenance capex</x:v>
      </x:c>
      <x:c r="B57" s="104" t="n">
        <x:f>B56-MAX(0,B56*'Assumptions'!$B$67)-(B53-0)*'Assumptions'!$B$66-B53*'Assumptions'!$B$65</x:f>
        <x:v>-568986.8650150895</x:v>
      </x:c>
      <x:c r="C57" s="104" t="n">
        <x:f>C56-MAX(0,C56*'Assumptions'!$B$67)-(C53-B53)*'Assumptions'!$B$66-C53*'Assumptions'!$B$65</x:f>
        <x:v>-263147.20084306505</x:v>
      </x:c>
      <x:c r="D57" s="104" t="n">
        <x:f>D56-MAX(0,D56*'Assumptions'!$B$67)-(D53-C53)*'Assumptions'!$B$66-D53*'Assumptions'!$B$65</x:f>
        <x:v>-88325.4649580823</x:v>
      </x:c>
      <x:c r="E57" s="104" t="n">
        <x:f>E56-MAX(0,E56*'Assumptions'!$B$67)-(E53-D53)*'Assumptions'!$B$66-E53*'Assumptions'!$B$65</x:f>
        <x:v>110920.59452100543</x:v>
      </x:c>
      <x:c r="F57" s="104" t="n">
        <x:f>F56-MAX(0,F56*'Assumptions'!$B$67)-(F53-E53)*'Assumptions'!$B$66-F53*'Assumptions'!$B$65</x:f>
        <x:v>255846.42649210728</x:v>
      </x:c>
      <x:c r="G57" s="101"/>
      <x:c r="H57" s="101"/>
    </x:row>
    <x:row r="58">
      <x:c r="A58" s="101" t="str">
        <x:v>Cumulative pre-financing cash flow</x:v>
      </x:c>
      <x:c r="B58" s="104" t="n">
        <x:f>-('Cash Flow'!$B$24*'Assumptions'!$D$75)+B57</x:f>
        <x:v>-1514236.8650150895</x:v>
      </x:c>
      <x:c r="C58" s="104" t="n">
        <x:f>B58+C57</x:f>
        <x:v>-1777384.0658581546</x:v>
      </x:c>
      <x:c r="D58" s="104" t="n">
        <x:f>C58+D57</x:f>
        <x:v>-1865709.530816237</x:v>
      </x:c>
      <x:c r="E58" s="104" t="n">
        <x:f>D58+E57</x:f>
        <x:v>-1754788.9362952316</x:v>
      </x:c>
      <x:c r="F58" s="104" t="n">
        <x:f>E58+F57</x:f>
        <x:v>-1498942.5098031242</x:v>
      </x:c>
      <x:c r="G58" s="101"/>
      <x:c r="H58" s="101"/>
    </x:row>
    <x:row r="59">
      <x:c r="A59" s="117" t="str">
        <x:v>Funding need</x:v>
      </x:c>
      <x:c r="B59" s="119" t="n">
        <x:f>-MIN(B58:F58)+'Assumptions'!$B$53</x:f>
        <x:v>2115709.530816237</x:v>
      </x:c>
      <x:c r="C59" s="119"/>
      <x:c r="D59" s="119"/>
      <x:c r="E59" s="119"/>
      <x:c r="F59" s="119"/>
      <x:c r="G59" s="101"/>
      <x:c r="H59" s="101"/>
    </x:row>
  </x:sheetData>
  <x:mergeCells>
    <x:mergeCell ref="A1:H1"/>
    <x:mergeCell ref="A2:H2"/>
    <x:mergeCell ref="A9:F9"/>
    <x:mergeCell ref="A27:F27"/>
    <x:mergeCell ref="A45:F4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6"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s>
  <x:sheetData>
    <x:row r="1" ht="34" customHeight="1">
      <x:c r="A1" s="3" t="str">
        <x:v>Illustrative Ten-Store Rollout</x:v>
      </x:c>
      <x:c r="B1" s="3"/>
      <x:c r="C1" s="3"/>
      <x:c r="D1" s="3"/>
      <x:c r="E1" s="3"/>
      <x:c r="F1" s="3"/>
      <x:c r="G1" s="3"/>
      <x:c r="H1" s="3"/>
    </x:row>
    <x:row r="2" ht="24" customHeight="1">
      <x:c r="A2" s="102" t="str">
        <x:v>Expansion is gated until the pilot proves demand, quality, and store-level break-even</x:v>
      </x:c>
      <x:c r="B2" s="102"/>
      <x:c r="C2" s="102"/>
      <x:c r="D2" s="102"/>
      <x:c r="E2" s="102"/>
      <x:c r="F2" s="102"/>
      <x:c r="G2" s="102"/>
      <x:c r="H2" s="102"/>
    </x:row>
    <x:row r="3" ht="25" customHeight="1">
      <x:c r="A3" s="20" t="str">
        <x:v>USD</x:v>
      </x:c>
      <x:c r="B3" s="21" t="str">
        <x:v>Year 1</x:v>
      </x:c>
      <x:c r="C3" s="21" t="str">
        <x:v>Year 2</x:v>
      </x:c>
      <x:c r="D3" s="21" t="str">
        <x:v>Year 3</x:v>
      </x:c>
      <x:c r="E3" s="21" t="str">
        <x:v>Year 4</x:v>
      </x:c>
      <x:c r="F3" s="21" t="str">
        <x:v>Year 5</x:v>
      </x:c>
      <x:c r="G3" s="21" t="str">
        <x:v>Year 6</x:v>
      </x:c>
      <x:c r="H3" s="22" t="str">
        <x:v>Year 7</x:v>
      </x:c>
    </x:row>
    <x:row r="4">
      <x:c r="A4" s="101" t="str">
        <x:v>New stores opened</x:v>
      </x:c>
      <x:c r="B4" s="124" t="n">
        <x:f>'Assumptions'!B79</x:f>
        <x:v>1</x:v>
      </x:c>
      <x:c r="C4" s="124" t="n">
        <x:f>'Assumptions'!C79</x:f>
        <x:v>0</x:v>
      </x:c>
      <x:c r="D4" s="124" t="n">
        <x:f>'Assumptions'!D79</x:f>
        <x:v>0</x:v>
      </x:c>
      <x:c r="E4" s="124" t="n">
        <x:f>'Assumptions'!E79</x:f>
        <x:v>1</x:v>
      </x:c>
      <x:c r="F4" s="124" t="n">
        <x:f>'Assumptions'!F79</x:f>
        <x:v>2</x:v>
      </x:c>
      <x:c r="G4" s="124" t="n">
        <x:f>'Assumptions'!G79</x:f>
        <x:v>3</x:v>
      </x:c>
      <x:c r="H4" s="124" t="n">
        <x:f>'Assumptions'!H79</x:f>
        <x:v>3</x:v>
      </x:c>
    </x:row>
    <x:row r="5">
      <x:c r="A5" s="117" t="str">
        <x:v>Total stores</x:v>
      </x:c>
      <x:c r="B5" s="127" t="n">
        <x:f>B4</x:f>
        <x:v>1</x:v>
      </x:c>
      <x:c r="C5" s="127" t="n">
        <x:f>B5+C4</x:f>
        <x:v>1</x:v>
      </x:c>
      <x:c r="D5" s="127" t="n">
        <x:f>C5+D4</x:f>
        <x:v>1</x:v>
      </x:c>
      <x:c r="E5" s="127" t="n">
        <x:f>D5+E4</x:f>
        <x:v>2</x:v>
      </x:c>
      <x:c r="F5" s="127" t="n">
        <x:f>E5+F4</x:f>
        <x:v>4</x:v>
      </x:c>
      <x:c r="G5" s="127" t="n">
        <x:f>F5+G4</x:f>
        <x:v>7</x:v>
      </x:c>
      <x:c r="H5" s="127" t="n">
        <x:f>G5+H4</x:f>
        <x:v>10</x:v>
      </x:c>
    </x:row>
    <x:row r="6">
      <x:c r="A6" s="101"/>
      <x:c r="B6" s="101"/>
      <x:c r="C6" s="101"/>
      <x:c r="D6" s="101"/>
      <x:c r="E6" s="101"/>
      <x:c r="F6" s="101"/>
      <x:c r="G6" s="101"/>
      <x:c r="H6" s="101"/>
    </x:row>
    <x:row r="7" ht="22" customHeight="1">
      <x:c r="A7" s="8" t="str">
        <x:v>Revenue by opening cohort</x:v>
      </x:c>
      <x:c r="B7" s="8"/>
      <x:c r="C7" s="8"/>
      <x:c r="D7" s="8"/>
      <x:c r="E7" s="8"/>
      <x:c r="F7" s="8"/>
      <x:c r="G7" s="8"/>
      <x:c r="H7" s="8"/>
    </x:row>
    <x:row r="8">
      <x:c r="A8" s="101" t="str">
        <x:v>Year 1 opening cohort</x:v>
      </x:c>
      <x:c r="B8" s="104" t="n">
        <x:f>'Assumptions'!$B$79*'P&amp;L 5-Year'!$B$11</x:f>
        <x:v>673931.7175</x:v>
      </x:c>
      <x:c r="C8" s="104" t="n">
        <x:f>'Assumptions'!$B$79*'P&amp;L 5-Year'!$C$11</x:f>
        <x:v>967500.245</x:v>
      </x:c>
      <x:c r="D8" s="104" t="n">
        <x:f>'Assumptions'!$B$79*'P&amp;L 5-Year'!$D$11</x:f>
        <x:v>1289705.30625</x:v>
      </x:c>
      <x:c r="E8" s="104" t="n">
        <x:f>'Assumptions'!$B$79*'P&amp;L 5-Year'!$E$11</x:f>
        <x:v>1672179.96875</x:v>
      </x:c>
      <x:c r="F8" s="104" t="n">
        <x:f>'Assumptions'!$B$79*'P&amp;L 5-Year'!$F$11</x:f>
        <x:v>2009924.2325</x:v>
      </x:c>
      <x:c r="G8" s="104" t="n">
        <x:f>'Assumptions'!$B$79*'P&amp;L 5-Year'!$F$11*(1+3%)^1</x:f>
        <x:v>2070221.959475</x:v>
      </x:c>
      <x:c r="H8" s="104" t="n">
        <x:f>'Assumptions'!$B$79*'P&amp;L 5-Year'!$F$11*(1+3%)^2</x:f>
        <x:v>2132328.6182592497</x:v>
      </x:c>
    </x:row>
    <x:row r="9">
      <x:c r="A9" s="101" t="str">
        <x:v>Year 2 opening cohort</x:v>
      </x:c>
      <x:c r="B9" s="104" t="n">
        <x:v>0</x:v>
      </x:c>
      <x:c r="C9" s="104" t="n">
        <x:f>'Assumptions'!$C$79*'P&amp;L 5-Year'!$B$11</x:f>
        <x:v>0</x:v>
      </x:c>
      <x:c r="D9" s="104" t="n">
        <x:f>'Assumptions'!$C$79*'P&amp;L 5-Year'!$C$11</x:f>
        <x:v>0</x:v>
      </x:c>
      <x:c r="E9" s="104" t="n">
        <x:f>'Assumptions'!$C$79*'P&amp;L 5-Year'!$D$11</x:f>
        <x:v>0</x:v>
      </x:c>
      <x:c r="F9" s="104" t="n">
        <x:f>'Assumptions'!$C$79*'P&amp;L 5-Year'!$E$11</x:f>
        <x:v>0</x:v>
      </x:c>
      <x:c r="G9" s="104" t="n">
        <x:f>'Assumptions'!$C$79*'P&amp;L 5-Year'!$F$11</x:f>
        <x:v>0</x:v>
      </x:c>
      <x:c r="H9" s="104" t="n">
        <x:f>'Assumptions'!$C$79*'P&amp;L 5-Year'!$F$11*(1+3%)^1</x:f>
        <x:v>0</x:v>
      </x:c>
    </x:row>
    <x:row r="10">
      <x:c r="A10" s="101" t="str">
        <x:v>Year 3 opening cohort</x:v>
      </x:c>
      <x:c r="B10" s="104" t="n">
        <x:v>0</x:v>
      </x:c>
      <x:c r="C10" s="104" t="n">
        <x:v>0</x:v>
      </x:c>
      <x:c r="D10" s="104" t="n">
        <x:f>'Assumptions'!$D$79*'P&amp;L 5-Year'!$B$11</x:f>
        <x:v>0</x:v>
      </x:c>
      <x:c r="E10" s="104" t="n">
        <x:f>'Assumptions'!$D$79*'P&amp;L 5-Year'!$C$11</x:f>
        <x:v>0</x:v>
      </x:c>
      <x:c r="F10" s="104" t="n">
        <x:f>'Assumptions'!$D$79*'P&amp;L 5-Year'!$D$11</x:f>
        <x:v>0</x:v>
      </x:c>
      <x:c r="G10" s="104" t="n">
        <x:f>'Assumptions'!$D$79*'P&amp;L 5-Year'!$E$11</x:f>
        <x:v>0</x:v>
      </x:c>
      <x:c r="H10" s="104" t="n">
        <x:f>'Assumptions'!$D$79*'P&amp;L 5-Year'!$F$11</x:f>
        <x:v>0</x:v>
      </x:c>
    </x:row>
    <x:row r="11">
      <x:c r="A11" s="101" t="str">
        <x:v>Year 4 opening cohort</x:v>
      </x:c>
      <x:c r="B11" s="104" t="n">
        <x:v>0</x:v>
      </x:c>
      <x:c r="C11" s="104" t="n">
        <x:v>0</x:v>
      </x:c>
      <x:c r="D11" s="104" t="n">
        <x:v>0</x:v>
      </x:c>
      <x:c r="E11" s="104" t="n">
        <x:f>'Assumptions'!$E$79*'P&amp;L 5-Year'!$B$11</x:f>
        <x:v>673931.7175</x:v>
      </x:c>
      <x:c r="F11" s="104" t="n">
        <x:f>'Assumptions'!$E$79*'P&amp;L 5-Year'!$C$11</x:f>
        <x:v>967500.245</x:v>
      </x:c>
      <x:c r="G11" s="104" t="n">
        <x:f>'Assumptions'!$E$79*'P&amp;L 5-Year'!$D$11</x:f>
        <x:v>1289705.30625</x:v>
      </x:c>
      <x:c r="H11" s="104" t="n">
        <x:f>'Assumptions'!$E$79*'P&amp;L 5-Year'!$E$11</x:f>
        <x:v>1672179.96875</x:v>
      </x:c>
    </x:row>
    <x:row r="12">
      <x:c r="A12" s="101" t="str">
        <x:v>Year 5 opening cohort</x:v>
      </x:c>
      <x:c r="B12" s="104" t="n">
        <x:v>0</x:v>
      </x:c>
      <x:c r="C12" s="104" t="n">
        <x:v>0</x:v>
      </x:c>
      <x:c r="D12" s="104" t="n">
        <x:v>0</x:v>
      </x:c>
      <x:c r="E12" s="104" t="n">
        <x:v>0</x:v>
      </x:c>
      <x:c r="F12" s="104" t="n">
        <x:f>'Assumptions'!$F$79*'P&amp;L 5-Year'!$B$11</x:f>
        <x:v>1347863.435</x:v>
      </x:c>
      <x:c r="G12" s="104" t="n">
        <x:f>'Assumptions'!$F$79*'P&amp;L 5-Year'!$C$11</x:f>
        <x:v>1935000.49</x:v>
      </x:c>
      <x:c r="H12" s="104" t="n">
        <x:f>'Assumptions'!$F$79*'P&amp;L 5-Year'!$D$11</x:f>
        <x:v>2579410.6125</x:v>
      </x:c>
    </x:row>
    <x:row r="13">
      <x:c r="A13" s="101" t="str">
        <x:v>Year 6 opening cohort</x:v>
      </x:c>
      <x:c r="B13" s="104" t="n">
        <x:v>0</x:v>
      </x:c>
      <x:c r="C13" s="104" t="n">
        <x:v>0</x:v>
      </x:c>
      <x:c r="D13" s="104" t="n">
        <x:v>0</x:v>
      </x:c>
      <x:c r="E13" s="104" t="n">
        <x:v>0</x:v>
      </x:c>
      <x:c r="F13" s="104" t="n">
        <x:v>0</x:v>
      </x:c>
      <x:c r="G13" s="104" t="n">
        <x:f>'Assumptions'!$G$79*'P&amp;L 5-Year'!$B$11</x:f>
        <x:v>2021795.1525</x:v>
      </x:c>
      <x:c r="H13" s="104" t="n">
        <x:f>'Assumptions'!$G$79*'P&amp;L 5-Year'!$C$11</x:f>
        <x:v>2902500.735</x:v>
      </x:c>
    </x:row>
    <x:row r="14">
      <x:c r="A14" s="101" t="str">
        <x:v>Year 7 opening cohort</x:v>
      </x:c>
      <x:c r="B14" s="104" t="n">
        <x:v>0</x:v>
      </x:c>
      <x:c r="C14" s="104" t="n">
        <x:v>0</x:v>
      </x:c>
      <x:c r="D14" s="104" t="n">
        <x:v>0</x:v>
      </x:c>
      <x:c r="E14" s="104" t="n">
        <x:v>0</x:v>
      </x:c>
      <x:c r="F14" s="104" t="n">
        <x:v>0</x:v>
      </x:c>
      <x:c r="G14" s="104" t="n">
        <x:v>0</x:v>
      </x:c>
      <x:c r="H14" s="104" t="n">
        <x:f>'Assumptions'!$H$79*'P&amp;L 5-Year'!$B$11</x:f>
        <x:v>2021795.1525</x:v>
      </x:c>
    </x:row>
    <x:row r="15">
      <x:c r="A15" s="101"/>
      <x:c r="B15" s="104"/>
      <x:c r="C15" s="104"/>
      <x:c r="D15" s="104"/>
      <x:c r="E15" s="104"/>
      <x:c r="F15" s="104"/>
      <x:c r="G15" s="104"/>
      <x:c r="H15" s="104"/>
    </x:row>
    <x:row r="16">
      <x:c r="A16" s="117" t="str">
        <x:v>Total store revenue</x:v>
      </x:c>
      <x:c r="B16" s="119" t="n">
        <x:f>SUM(B8:B14)</x:f>
        <x:v>673931.7175</x:v>
      </x:c>
      <x:c r="C16" s="119" t="n">
        <x:f>SUM(C8:C14)</x:f>
        <x:v>967500.245</x:v>
      </x:c>
      <x:c r="D16" s="119" t="n">
        <x:f>SUM(D8:D14)</x:f>
        <x:v>1289705.30625</x:v>
      </x:c>
      <x:c r="E16" s="119" t="n">
        <x:f>SUM(E8:E14)</x:f>
        <x:v>2346111.6862500003</x:v>
      </x:c>
      <x:c r="F16" s="119" t="n">
        <x:f>SUM(F8:F14)</x:f>
        <x:v>4325287.9125</x:v>
      </x:c>
      <x:c r="G16" s="119" t="n">
        <x:f>SUM(G8:G14)</x:f>
        <x:v>7316722.908225</x:v>
      </x:c>
      <x:c r="H16" s="119" t="n">
        <x:f>SUM(H8:H14)</x:f>
        <x:v>11308215.08700925</x:v>
      </x:c>
    </x:row>
    <x:row r="17">
      <x:c r="A17" s="8" t="str">
        <x:v>Store-level EBITDA by opening cohort</x:v>
      </x:c>
      <x:c r="B17" s="53"/>
      <x:c r="C17" s="53"/>
      <x:c r="D17" s="53"/>
      <x:c r="E17" s="53"/>
      <x:c r="F17" s="53"/>
      <x:c r="G17" s="53"/>
      <x:c r="H17" s="53"/>
    </x:row>
    <x:row r="18">
      <x:c r="A18" s="101" t="str">
        <x:v>Year 1 opening cohort</x:v>
      </x:c>
      <x:c r="B18" s="104" t="n">
        <x:f>'Assumptions'!$B$79*'P&amp;L 5-Year'!$B$34</x:f>
        <x:v>-614377.3517499999</x:v>
      </x:c>
      <x:c r="C18" s="104" t="n">
        <x:f>'Assumptions'!$B$79*'P&amp;L 5-Year'!$C$34</x:f>
        <x:v>-372821.74450000003</x:v>
      </x:c>
      <x:c r="D18" s="104" t="n">
        <x:f>'Assumptions'!$B$79*'P&amp;L 5-Year'!$D$34</x:f>
        <x:v>-250395.66062500002</x:v>
      </x:c>
      <x:c r="E18" s="104" t="n">
        <x:f>'Assumptions'!$B$79*'P&amp;L 5-Year'!$E$34</x:f>
        <x:v>-63120.46627500001</x:v>
      </x:c>
      <x:c r="F18" s="104" t="n">
        <x:f>'Assumptions'!$B$79*'P&amp;L 5-Year'!$F$34</x:f>
        <x:v>74681.2067679998</x:v>
      </x:c>
      <x:c r="G18" s="104" t="n">
        <x:f>'Assumptions'!$B$79*'P&amp;L 5-Year'!$F$34*(1+3%)^1</x:f>
        <x:v>76921.6429710398</x:v>
      </x:c>
      <x:c r="H18" s="104" t="n">
        <x:f>'Assumptions'!$B$79*'P&amp;L 5-Year'!$F$34*(1+3%)^2</x:f>
        <x:v>79229.29226017099</x:v>
      </x:c>
    </x:row>
    <x:row r="19">
      <x:c r="A19" s="101" t="str">
        <x:v>Year 2 opening cohort</x:v>
      </x:c>
      <x:c r="B19" s="104" t="n">
        <x:v>0</x:v>
      </x:c>
      <x:c r="C19" s="104" t="n">
        <x:f>'Assumptions'!$C$79*'P&amp;L 5-Year'!$B$34</x:f>
        <x:v>0</x:v>
      </x:c>
      <x:c r="D19" s="104" t="n">
        <x:f>'Assumptions'!$C$79*'P&amp;L 5-Year'!$C$34</x:f>
        <x:v>0</x:v>
      </x:c>
      <x:c r="E19" s="104" t="n">
        <x:f>'Assumptions'!$C$79*'P&amp;L 5-Year'!$D$34</x:f>
        <x:v>0</x:v>
      </x:c>
      <x:c r="F19" s="104" t="n">
        <x:f>'Assumptions'!$C$79*'P&amp;L 5-Year'!$E$34</x:f>
        <x:v>0</x:v>
      </x:c>
      <x:c r="G19" s="104" t="n">
        <x:f>'Assumptions'!$C$79*'P&amp;L 5-Year'!$F$34</x:f>
        <x:v>0</x:v>
      </x:c>
      <x:c r="H19" s="104" t="n">
        <x:f>'Assumptions'!$C$79*'P&amp;L 5-Year'!$F$34*(1+3%)^1</x:f>
        <x:v>0</x:v>
      </x:c>
    </x:row>
    <x:row r="20">
      <x:c r="A20" s="101" t="str">
        <x:v>Year 3 opening cohort</x:v>
      </x:c>
      <x:c r="B20" s="104" t="n">
        <x:v>0</x:v>
      </x:c>
      <x:c r="C20" s="104" t="n">
        <x:v>0</x:v>
      </x:c>
      <x:c r="D20" s="104" t="n">
        <x:f>'Assumptions'!$D$79*'P&amp;L 5-Year'!$B$34</x:f>
        <x:v>0</x:v>
      </x:c>
      <x:c r="E20" s="104" t="n">
        <x:f>'Assumptions'!$D$79*'P&amp;L 5-Year'!$C$34</x:f>
        <x:v>0</x:v>
      </x:c>
      <x:c r="F20" s="104" t="n">
        <x:f>'Assumptions'!$D$79*'P&amp;L 5-Year'!$D$34</x:f>
        <x:v>0</x:v>
      </x:c>
      <x:c r="G20" s="104" t="n">
        <x:f>'Assumptions'!$D$79*'P&amp;L 5-Year'!$E$34</x:f>
        <x:v>0</x:v>
      </x:c>
      <x:c r="H20" s="104" t="n">
        <x:f>'Assumptions'!$D$79*'P&amp;L 5-Year'!$F$34</x:f>
        <x:v>0</x:v>
      </x:c>
    </x:row>
    <x:row r="21">
      <x:c r="A21" s="101" t="str">
        <x:v>Year 4 opening cohort</x:v>
      </x:c>
      <x:c r="B21" s="104" t="n">
        <x:v>0</x:v>
      </x:c>
      <x:c r="C21" s="104" t="n">
        <x:v>0</x:v>
      </x:c>
      <x:c r="D21" s="104" t="n">
        <x:v>0</x:v>
      </x:c>
      <x:c r="E21" s="104" t="n">
        <x:f>'Assumptions'!$E$79*'P&amp;L 5-Year'!$B$34</x:f>
        <x:v>-614377.3517499999</x:v>
      </x:c>
      <x:c r="F21" s="104" t="n">
        <x:f>'Assumptions'!$E$79*'P&amp;L 5-Year'!$C$34</x:f>
        <x:v>-372821.74450000003</x:v>
      </x:c>
      <x:c r="G21" s="104" t="n">
        <x:f>'Assumptions'!$E$79*'P&amp;L 5-Year'!$D$34</x:f>
        <x:v>-250395.66062500002</x:v>
      </x:c>
      <x:c r="H21" s="104" t="n">
        <x:f>'Assumptions'!$E$79*'P&amp;L 5-Year'!$E$34</x:f>
        <x:v>-63120.46627500001</x:v>
      </x:c>
    </x:row>
    <x:row r="22">
      <x:c r="A22" s="101" t="str">
        <x:v>Year 5 opening cohort</x:v>
      </x:c>
      <x:c r="B22" s="104" t="n">
        <x:v>0</x:v>
      </x:c>
      <x:c r="C22" s="104" t="n">
        <x:v>0</x:v>
      </x:c>
      <x:c r="D22" s="104" t="n">
        <x:v>0</x:v>
      </x:c>
      <x:c r="E22" s="104" t="n">
        <x:v>0</x:v>
      </x:c>
      <x:c r="F22" s="104" t="n">
        <x:f>'Assumptions'!$F$79*'P&amp;L 5-Year'!$B$34</x:f>
        <x:v>-1228754.7034999998</x:v>
      </x:c>
      <x:c r="G22" s="104" t="n">
        <x:f>'Assumptions'!$F$79*'P&amp;L 5-Year'!$C$34</x:f>
        <x:v>-745643.4890000001</x:v>
      </x:c>
      <x:c r="H22" s="104" t="n">
        <x:f>'Assumptions'!$F$79*'P&amp;L 5-Year'!$D$34</x:f>
        <x:v>-500791.32125000004</x:v>
      </x:c>
    </x:row>
    <x:row r="23">
      <x:c r="A23" s="101" t="str">
        <x:v>Year 6 opening cohort</x:v>
      </x:c>
      <x:c r="B23" s="104" t="n">
        <x:v>0</x:v>
      </x:c>
      <x:c r="C23" s="104" t="n">
        <x:v>0</x:v>
      </x:c>
      <x:c r="D23" s="104" t="n">
        <x:v>0</x:v>
      </x:c>
      <x:c r="E23" s="104" t="n">
        <x:v>0</x:v>
      </x:c>
      <x:c r="F23" s="104" t="n">
        <x:v>0</x:v>
      </x:c>
      <x:c r="G23" s="104" t="n">
        <x:f>'Assumptions'!$G$79*'P&amp;L 5-Year'!$B$34</x:f>
        <x:v>-1843132.0552499997</x:v>
      </x:c>
      <x:c r="H23" s="104" t="n">
        <x:f>'Assumptions'!$G$79*'P&amp;L 5-Year'!$C$34</x:f>
        <x:v>-1118465.2335</x:v>
      </x:c>
    </x:row>
    <x:row r="24">
      <x:c r="A24" s="101" t="str">
        <x:v>Year 7 opening cohort</x:v>
      </x:c>
      <x:c r="B24" s="104" t="n">
        <x:v>0</x:v>
      </x:c>
      <x:c r="C24" s="104" t="n">
        <x:v>0</x:v>
      </x:c>
      <x:c r="D24" s="104" t="n">
        <x:v>0</x:v>
      </x:c>
      <x:c r="E24" s="104" t="n">
        <x:v>0</x:v>
      </x:c>
      <x:c r="F24" s="104" t="n">
        <x:v>0</x:v>
      </x:c>
      <x:c r="G24" s="104" t="n">
        <x:v>0</x:v>
      </x:c>
      <x:c r="H24" s="104" t="n">
        <x:f>'Assumptions'!$H$79*'P&amp;L 5-Year'!$B$34</x:f>
        <x:v>-1843132.0552499997</x:v>
      </x:c>
    </x:row>
    <x:row r="25">
      <x:c r="A25" s="117" t="str">
        <x:v>Total store-level EBITDA</x:v>
      </x:c>
      <x:c r="B25" s="119" t="n">
        <x:f>SUM(B18:B24)</x:f>
        <x:v>-614377.3517499999</x:v>
      </x:c>
      <x:c r="C25" s="119" t="n">
        <x:f>SUM(C18:C24)</x:f>
        <x:v>-372821.74450000003</x:v>
      </x:c>
      <x:c r="D25" s="119" t="n">
        <x:f>SUM(D18:D24)</x:f>
        <x:v>-250395.66062500002</x:v>
      </x:c>
      <x:c r="E25" s="119" t="n">
        <x:f>SUM(E18:E24)</x:f>
        <x:v>-677497.8180249999</x:v>
      </x:c>
      <x:c r="F25" s="119" t="n">
        <x:f>SUM(F18:F24)</x:f>
        <x:v>-1526895.241232</x:v>
      </x:c>
      <x:c r="G25" s="119" t="n">
        <x:f>SUM(G18:G24)</x:f>
        <x:v>-2762249.56190396</x:v>
      </x:c>
      <x:c r="H25" s="119" t="n">
        <x:f>SUM(H18:H24)</x:f>
        <x:v>-3446279.784014829</x:v>
      </x:c>
    </x:row>
    <x:row r="26">
      <x:c r="A26" s="101"/>
      <x:c r="B26" s="104"/>
      <x:c r="C26" s="104"/>
      <x:c r="D26" s="104"/>
      <x:c r="E26" s="104"/>
      <x:c r="F26" s="104"/>
      <x:c r="G26" s="104"/>
      <x:c r="H26" s="104"/>
    </x:row>
    <x:row r="27">
      <x:c r="A27" s="101" t="str">
        <x:v>Central platform / corporate opex</x:v>
      </x:c>
      <x:c r="B27" s="128" t="n">
        <x:f>'Assumptions'!B81</x:f>
        <x:v>0</x:v>
      </x:c>
      <x:c r="C27" s="128" t="n">
        <x:f>'Assumptions'!C81</x:f>
        <x:v>0</x:v>
      </x:c>
      <x:c r="D27" s="128" t="n">
        <x:f>'Assumptions'!D81</x:f>
        <x:v>250000</x:v>
      </x:c>
      <x:c r="E27" s="128" t="n">
        <x:f>'Assumptions'!E81</x:f>
        <x:v>450000</x:v>
      </x:c>
      <x:c r="F27" s="128" t="n">
        <x:f>'Assumptions'!F81</x:f>
        <x:v>850000</x:v>
      </x:c>
      <x:c r="G27" s="128" t="n">
        <x:f>'Assumptions'!G81</x:f>
        <x:v>1500000</x:v>
      </x:c>
      <x:c r="H27" s="128" t="n">
        <x:f>'Assumptions'!H81</x:f>
        <x:v>2200000</x:v>
      </x:c>
    </x:row>
    <x:row r="28">
      <x:c r="A28" s="129" t="str">
        <x:v>Consolidated EBITDA</x:v>
      </x:c>
      <x:c r="B28" s="130" t="n">
        <x:f>B25-B27</x:f>
        <x:v>-614377.3517499999</x:v>
      </x:c>
      <x:c r="C28" s="130" t="n">
        <x:f>C25-C27</x:f>
        <x:v>-372821.74450000003</x:v>
      </x:c>
      <x:c r="D28" s="130" t="n">
        <x:f>D25-D27</x:f>
        <x:v>-500395.660625</x:v>
      </x:c>
      <x:c r="E28" s="130" t="n">
        <x:f>E25-E27</x:f>
        <x:v>-1127497.818025</x:v>
      </x:c>
      <x:c r="F28" s="130" t="n">
        <x:f>F25-F27</x:f>
        <x:v>-2376895.2412320003</x:v>
      </x:c>
      <x:c r="G28" s="130" t="n">
        <x:f>G25-G27</x:f>
        <x:v>-4262249.56190396</x:v>
      </x:c>
      <x:c r="H28" s="130" t="n">
        <x:f>H25-H27</x:f>
        <x:v>-5646279.7840148285</x:v>
      </x:c>
    </x:row>
    <x:row r="29">
      <x:c r="A29" s="8" t="str">
        <x:v>Consolidated EBITDA margin</x:v>
      </x:c>
      <x:c r="B29" s="145" t="n">
        <x:f>B28/B16</x:f>
        <x:v>-0.9116314543394374</x:v>
      </x:c>
      <x:c r="C29" s="145" t="n">
        <x:f>C28/C16</x:f>
        <x:v>-0.3853453747704219</x:v>
      </x:c>
      <x:c r="D29" s="145" t="n">
        <x:f>D28/D16</x:f>
        <x:v>-0.3879922476863889</x:v>
      </x:c>
      <x:c r="E29" s="145" t="n">
        <x:f>E28/E16</x:f>
        <x:v>-0.4805814764203235</x:v>
      </x:c>
      <x:c r="F29" s="145" t="n">
        <x:f>F28/F16</x:f>
        <x:v>-0.5495345718750464</x:v>
      </x:c>
      <x:c r="G29" s="145" t="n">
        <x:f>G28/G16</x:f>
        <x:v>-0.5825353256322727</x:v>
      </x:c>
      <x:c r="H29" s="145" t="n">
        <x:f>H28/H16</x:f>
        <x:v>-0.4993077811635553</x:v>
      </x:c>
    </x:row>
    <x:row r="30">
      <x:c r="A30" s="101" t="str"/>
      <x:c r="B30" s="104"/>
      <x:c r="C30" s="104"/>
      <x:c r="D30" s="104"/>
      <x:c r="E30" s="104"/>
      <x:c r="F30" s="104"/>
      <x:c r="G30" s="104"/>
      <x:c r="H30" s="104"/>
    </x:row>
    <x:row r="31">
      <x:c r="A31" s="117" t="str">
        <x:v>New-store growth capex</x:v>
      </x:c>
      <x:c r="B31" s="119" t="n">
        <x:f>'Cash Flow'!$B$24</x:f>
        <x:v>995000</x:v>
      </x:c>
      <x:c r="C31" s="119" t="n">
        <x:f>C4*'Assumptions'!$B$80</x:f>
        <x:v>0</x:v>
      </x:c>
      <x:c r="D31" s="119" t="n">
        <x:f>D4*'Assumptions'!$B$80</x:f>
        <x:v>0</x:v>
      </x:c>
      <x:c r="E31" s="119" t="n">
        <x:f>E4*'Assumptions'!$B$80</x:f>
        <x:v>1000000</x:v>
      </x:c>
      <x:c r="F31" s="119" t="n">
        <x:f>F4*'Assumptions'!$B$80</x:f>
        <x:v>2000000</x:v>
      </x:c>
      <x:c r="G31" s="119" t="n">
        <x:f>G4*'Assumptions'!$B$80</x:f>
        <x:v>3000000</x:v>
      </x:c>
      <x:c r="H31" s="119" t="n">
        <x:f>H4*'Assumptions'!$B$80</x:f>
        <x:v>3000000</x:v>
      </x:c>
    </x:row>
    <x:row r="32">
      <x:c r="A32" s="131" t="str">
        <x:v>Cumulative growth capex</x:v>
      </x:c>
      <x:c r="B32" s="132" t="n">
        <x:f>B31</x:f>
        <x:v>995000</x:v>
      </x:c>
      <x:c r="C32" s="132" t="n">
        <x:f>B32+C31</x:f>
        <x:v>995000</x:v>
      </x:c>
      <x:c r="D32" s="132" t="n">
        <x:f>C32+D31</x:f>
        <x:v>995000</x:v>
      </x:c>
      <x:c r="E32" s="132" t="n">
        <x:f>D32+E31</x:f>
        <x:v>1995000</x:v>
      </x:c>
      <x:c r="F32" s="132" t="n">
        <x:f>E32+F31</x:f>
        <x:v>3995000</x:v>
      </x:c>
      <x:c r="G32" s="132" t="n">
        <x:f>F32+G31</x:f>
        <x:v>6995000</x:v>
      </x:c>
      <x:c r="H32" s="132" t="n">
        <x:f>G32+H31</x:f>
        <x:v>9995000</x:v>
      </x:c>
    </x:row>
    <x:row r="33">
      <x:c r="A33" s="101" t="str">
        <x:v>Revenue / open store</x:v>
      </x:c>
      <x:c r="B33" s="104" t="n">
        <x:f>B16/B5</x:f>
        <x:v>673931.7175</x:v>
      </x:c>
      <x:c r="C33" s="104" t="n">
        <x:f>C16/C5</x:f>
        <x:v>967500.245</x:v>
      </x:c>
      <x:c r="D33" s="104" t="n">
        <x:f>D16/D5</x:f>
        <x:v>1289705.30625</x:v>
      </x:c>
      <x:c r="E33" s="104" t="n">
        <x:f>E16/E5</x:f>
        <x:v>1173055.8431250001</x:v>
      </x:c>
      <x:c r="F33" s="104" t="n">
        <x:f>F16/F5</x:f>
        <x:v>1081321.978125</x:v>
      </x:c>
      <x:c r="G33" s="104" t="n">
        <x:f>G16/G5</x:f>
        <x:v>1045246.1297464286</x:v>
      </x:c>
      <x:c r="H33" s="104" t="n">
        <x:f>H16/H5</x:f>
        <x:v>1130821.508700925</x:v>
      </x:c>
    </x:row>
  </x:sheetData>
  <x:mergeCells>
    <x:mergeCell ref="A1:H1"/>
    <x:mergeCell ref="A2:H2"/>
    <x:mergeCell ref="A7:H7"/>
    <x:mergeCell ref="A17:H17"/>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8" hidden="0" customWidth="1"/>
    <x:col min="4" max="4" width="18" hidden="0" customWidth="1"/>
    <x:col min="5" max="5" width="14" hidden="0" customWidth="1"/>
    <x:col min="6" max="6" width="14" hidden="0" customWidth="1"/>
    <x:col min="7" max="7" width="26" hidden="0" customWidth="1"/>
    <x:col min="8" max="8" width="38" hidden="0" customWidth="1"/>
  </x:cols>
  <x:sheetData>
    <x:row r="1" ht="34" customHeight="1">
      <x:c r="A1" s="3" t="str">
        <x:v>Model Checks</x:v>
      </x:c>
      <x:c r="B1" s="3"/>
      <x:c r="C1" s="3"/>
      <x:c r="D1" s="3"/>
      <x:c r="E1" s="3"/>
      <x:c r="F1" s="3"/>
      <x:c r="G1" s="3"/>
      <x:c r="H1" s="3"/>
    </x:row>
    <x:row r="2" ht="24" customHeight="1">
      <x:c r="A2" s="102" t="str">
        <x:v>PASS means the formulas tie; it does not validate commercial assumptions</x:v>
      </x:c>
      <x:c r="B2" s="102"/>
      <x:c r="C2" s="102"/>
      <x:c r="D2" s="102"/>
      <x:c r="E2" s="102"/>
      <x:c r="F2" s="102"/>
      <x:c r="G2" s="102"/>
      <x:c r="H2" s="102"/>
    </x:row>
    <x:row r="3">
      <x:c r="A3" s="146" t="str">
        <x:v>MODEL STATUS</x:v>
      </x:c>
      <x:c r="B3" s="146" t="str">
        <x:f>IF(COUNTIF(F6:F13,"FAIL")=0,"PASS","FAIL")</x:f>
        <x:v>PASS</x:v>
      </x:c>
      <x:c r="C3" s="101"/>
      <x:c r="D3" s="101"/>
      <x:c r="E3" s="101"/>
      <x:c r="F3" s="101"/>
      <x:c r="G3" s="101"/>
      <x:c r="H3" s="101"/>
    </x:row>
    <x:row r="4">
      <x:c r="A4" s="101"/>
      <x:c r="B4" s="101"/>
      <x:c r="C4" s="101"/>
      <x:c r="D4" s="101"/>
      <x:c r="E4" s="101"/>
      <x:c r="F4" s="101"/>
      <x:c r="G4" s="101"/>
      <x:c r="H4" s="101"/>
    </x:row>
    <x:row r="5" ht="25" customHeight="1">
      <x:c r="A5" s="20" t="str">
        <x:v>Check</x:v>
      </x:c>
      <x:c r="B5" s="21" t="str">
        <x:v>Actual</x:v>
      </x:c>
      <x:c r="C5" s="21" t="str">
        <x:v>Expected</x:v>
      </x:c>
      <x:c r="D5" s="21" t="str">
        <x:v>Difference</x:v>
      </x:c>
      <x:c r="E5" s="21" t="str">
        <x:v>Tolerance</x:v>
      </x:c>
      <x:c r="F5" s="21" t="str">
        <x:v>Status</x:v>
      </x:c>
      <x:c r="G5" s="21" t="str">
        <x:v>Where to fix</x:v>
      </x:c>
      <x:c r="H5" s="22" t="str">
        <x:v>Notes</x:v>
      </x:c>
    </x:row>
    <x:row r="6" ht="34" customHeight="1">
      <x:c r="A6" s="156" t="str">
        <x:v>Service hours mix sums to 100%</x:v>
      </x:c>
      <x:c r="B6" s="158" t="n">
        <x:f>SUM('Assumptions'!D10:D13)</x:f>
        <x:v>1</x:v>
      </x:c>
      <x:c r="C6" s="158" t="n">
        <x:f>1</x:f>
        <x:v>1</x:v>
      </x:c>
      <x:c r="D6" s="158" t="n">
        <x:f>B6-C6</x:f>
        <x:v>0</x:v>
      </x:c>
      <x:c r="E6" s="158" t="n">
        <x:f>0.0001</x:f>
        <x:v>0.0001</x:v>
      </x:c>
      <x:c r="F6" s="156" t="str">
        <x:f>IF(ABS(D6)&lt;=E6,"OK","FAIL")</x:f>
        <x:v>OK</x:v>
      </x:c>
      <x:c r="G6" s="156" t="str">
        <x:v>Assumptions D10:D13</x:v>
      </x:c>
      <x:c r="H6" s="156" t="str">
        <x:v>Mix controls capacity and product volumes</x:v>
      </x:c>
    </x:row>
    <x:row r="7" ht="34" customHeight="1">
      <x:c r="A7" s="156" t="str">
        <x:v>Maximum utilization does not exceed 100%</x:v>
      </x:c>
      <x:c r="B7" s="158" t="n">
        <x:f>MAX('Assumptions'!B20:F20)</x:f>
        <x:v>0.82</x:v>
      </x:c>
      <x:c r="C7" s="158" t="n">
        <x:f>1</x:f>
        <x:v>1</x:v>
      </x:c>
      <x:c r="D7" s="158" t="n">
        <x:f>MAX(0,B7-C7)</x:f>
        <x:v>0</x:v>
      </x:c>
      <x:c r="E7" s="158" t="n">
        <x:f>0</x:f>
        <x:v>0</x:v>
      </x:c>
      <x:c r="F7" s="156" t="str">
        <x:f>IF(D7&lt;=E7,"OK","FAIL")</x:f>
        <x:v>OK</x:v>
      </x:c>
      <x:c r="G7" s="156" t="str">
        <x:v>Assumptions B20:F20</x:v>
      </x:c>
      <x:c r="H7" s="156" t="str">
        <x:v>Utilization must remain within physical capacity</x:v>
      </x:c>
    </x:row>
    <x:row r="8" ht="34" customHeight="1">
      <x:c r="A8" s="156" t="str">
        <x:v>P&amp;L revenue ties to unit economics</x:v>
      </x:c>
      <x:c r="B8" s="159" t="n">
        <x:f>SUM('P&amp;L 5-Year'!B11:F11)</x:f>
        <x:v>6613241.47</x:v>
      </x:c>
      <x:c r="C8" s="159" t="n">
        <x:f>SUM('Unit Economics'!B30:F30)</x:f>
        <x:v>6613241.47</x:v>
      </x:c>
      <x:c r="D8" s="159" t="n">
        <x:f>B8-C8</x:f>
        <x:v>0</x:v>
      </x:c>
      <x:c r="E8" s="159" t="n">
        <x:f>1</x:f>
        <x:v>1</x:v>
      </x:c>
      <x:c r="F8" s="156" t="str">
        <x:f>IF(ABS(D8)&lt;=E8,"OK","FAIL")</x:f>
        <x:v>OK</x:v>
      </x:c>
      <x:c r="G8" s="156" t="str">
        <x:v>Unit Economics / P&amp;L</x:v>
      </x:c>
      <x:c r="H8" s="156" t="str">
        <x:v>All revenue streams should reconcile</x:v>
      </x:c>
    </x:row>
    <x:row r="9" ht="34" customHeight="1">
      <x:c r="A9" s="156" t="str">
        <x:v>Base scenario Year 5 EBITDA ties to P&amp;L</x:v>
      </x:c>
      <x:c r="B9" s="159" t="n">
        <x:f>'Scenarios'!C5</x:f>
        <x:v>74681.2067679998</x:v>
      </x:c>
      <x:c r="C9" s="159" t="n">
        <x:f>'P&amp;L 5-Year'!F34</x:f>
        <x:v>74681.2067679998</x:v>
      </x:c>
      <x:c r="D9" s="159" t="n">
        <x:f>B9-C9</x:f>
        <x:v>0</x:v>
      </x:c>
      <x:c r="E9" s="159" t="n">
        <x:f>1</x:f>
        <x:v>1</x:v>
      </x:c>
      <x:c r="F9" s="156" t="str">
        <x:f>IF(ABS(D9)&lt;=E9,"OK","FAIL")</x:f>
        <x:v>OK</x:v>
      </x:c>
      <x:c r="G9" s="156" t="str">
        <x:v>Scenarios base block</x:v>
      </x:c>
      <x:c r="H9" s="156" t="str">
        <x:v>Base scenario should reproduce the main model</x:v>
      </x:c>
    </x:row>
    <x:row r="10" ht="34" customHeight="1">
      <x:c r="A10" s="156" t="str">
        <x:v>Ending cash preserves minimum buffer</x:v>
      </x:c>
      <x:c r="B10" s="159" t="n">
        <x:f>MIN('Cash Flow'!B16:G16)</x:f>
        <x:v>250000.00000000006</x:v>
      </x:c>
      <x:c r="C10" s="159" t="n">
        <x:f>'Assumptions'!B53</x:f>
        <x:v>250000</x:v>
      </x:c>
      <x:c r="D10" s="159" t="n">
        <x:f>B10-C10</x:f>
        <x:v>5.820766091346741e-11</x:v>
      </x:c>
      <x:c r="E10" s="159" t="n">
        <x:f>1</x:f>
        <x:v>1</x:v>
      </x:c>
      <x:c r="F10" s="156" t="str">
        <x:f>IF(D10&gt;=-E10,"OK","FAIL")</x:f>
        <x:v>OK</x:v>
      </x:c>
      <x:c r="G10" s="156" t="str">
        <x:v>Cash Flow</x:v>
      </x:c>
      <x:c r="H10" s="156" t="str">
        <x:v>Financing need includes the selected cash buffer</x:v>
      </x:c>
    </x:row>
    <x:row r="11" ht="34" customHeight="1">
      <x:c r="A11" s="156" t="str">
        <x:v>Rollout reaches 10 stores in Year 7</x:v>
      </x:c>
      <x:c r="B11" s="160" t="n">
        <x:f>'10-Store Rollout'!H5</x:f>
        <x:v>10</x:v>
      </x:c>
      <x:c r="C11" s="160" t="n">
        <x:f>10</x:f>
        <x:v>10</x:v>
      </x:c>
      <x:c r="D11" s="160" t="n">
        <x:f>B11-C11</x:f>
        <x:v>0</x:v>
      </x:c>
      <x:c r="E11" s="160" t="n">
        <x:f>0</x:f>
        <x:v>0</x:v>
      </x:c>
      <x:c r="F11" s="156" t="str">
        <x:f>IF(ABS(D11)&lt;=E11,"OK","FAIL")</x:f>
        <x:v>OK</x:v>
      </x:c>
      <x:c r="G11" s="156" t="str">
        <x:v>Assumptions B79:H79</x:v>
      </x:c>
      <x:c r="H11" s="156" t="str">
        <x:v>Illustrative rollout target</x:v>
      </x:c>
    </x:row>
    <x:row r="12" ht="34" customHeight="1">
      <x:c r="A12" s="156" t="str">
        <x:v>Scenario revenue ordering is logical</x:v>
      </x:c>
      <x:c r="B12" s="160" t="n">
        <x:f>IF(AND('Scenarios'!B6&gt;'Scenarios'!B5,'Scenarios'!B5&gt;'Scenarios'!B4),1,0)</x:f>
        <x:v>1</x:v>
      </x:c>
      <x:c r="C12" s="160" t="n">
        <x:f>1</x:f>
        <x:v>1</x:v>
      </x:c>
      <x:c r="D12" s="160" t="n">
        <x:f>B12-C12</x:f>
        <x:v>0</x:v>
      </x:c>
      <x:c r="E12" s="160" t="n">
        <x:f>0</x:f>
        <x:v>0</x:v>
      </x:c>
      <x:c r="F12" s="156" t="str">
        <x:f>IF(ABS(D12)&lt;=E12,"OK","FAIL")</x:f>
        <x:v>OK</x:v>
      </x:c>
      <x:c r="G12" s="156" t="str">
        <x:v>Scenarios</x:v>
      </x:c>
      <x:c r="H12" s="156" t="str">
        <x:v>Upside &gt; Base &gt; Downside revenue</x:v>
      </x:c>
    </x:row>
    <x:row r="13" ht="34" customHeight="1">
      <x:c r="A13" s="156" t="str">
        <x:v>Scenario funding ordering is logical</x:v>
      </x:c>
      <x:c r="B13" s="160" t="n">
        <x:f>IF(AND('Scenarios'!E4&gt;='Scenarios'!E5,'Scenarios'!E5&gt;='Scenarios'!E6),1,0)</x:f>
        <x:v>1</x:v>
      </x:c>
      <x:c r="C13" s="160" t="n">
        <x:f>1</x:f>
        <x:v>1</x:v>
      </x:c>
      <x:c r="D13" s="160" t="n">
        <x:f>B13-C13</x:f>
        <x:v>0</x:v>
      </x:c>
      <x:c r="E13" s="160" t="n">
        <x:f>0</x:f>
        <x:v>0</x:v>
      </x:c>
      <x:c r="F13" s="156" t="str">
        <x:f>IF(ABS(D13)&lt;=E13,"OK","FAIL")</x:f>
        <x:v>OK</x:v>
      </x:c>
      <x:c r="G13" s="156" t="str">
        <x:v>Scenarios</x:v>
      </x:c>
      <x:c r="H13" s="156" t="str">
        <x:v>Downside &gt;= Base &gt;= Upside funding need</x:v>
      </x:c>
    </x:row>
  </x:sheetData>
  <x:mergeCells>
    <x:mergeCell ref="A1:H1"/>
    <x:mergeCell ref="A2:H2"/>
  </x:mergeCells>
  <x:conditionalFormatting sqref="F6:F13">
    <x:cfRule type="containsText" dxfId="0" priority="1" operator="containsText" text="OK"/>
    <x:cfRule type="containsText" dxfId="1" priority="2" operator="containsText" text="FAIL"/>
  </x:conditionalFormatting>
  <x:conditionalFormatting sqref="B3:B3">
    <x:cfRule type="containsText" dxfId="2" priority="3" operator="containsText" text="PASS"/>
    <x:cfRule type="containsText" dxfId="3" priority="4" operator="containsText" text="FAIL"/>
  </x:conditionalFormatting>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8" hidden="0" customWidth="1"/>
    <x:col min="2" max="2" width="18" hidden="0" customWidth="1"/>
    <x:col min="3" max="3" width="16" hidden="0" customWidth="1"/>
    <x:col min="4" max="4" width="18" hidden="0" customWidth="1"/>
    <x:col min="5" max="5" width="30" hidden="0" customWidth="1"/>
    <x:col min="6" max="6" width="70" hidden="0" customWidth="1"/>
    <x:col min="7" max="7" width="16" hidden="0" customWidth="1"/>
    <x:col min="8" max="8" width="46" hidden="0" customWidth="1"/>
  </x:cols>
  <x:sheetData>
    <x:row r="1" ht="34" customHeight="1">
      <x:c r="A1" s="3" t="str">
        <x:v>Sources and Assumption Register</x:v>
      </x:c>
      <x:c r="B1" s="3"/>
      <x:c r="C1" s="3"/>
      <x:c r="D1" s="3"/>
      <x:c r="E1" s="3"/>
      <x:c r="F1" s="3"/>
      <x:c r="G1" s="3"/>
      <x:c r="H1" s="3"/>
    </x:row>
    <x:row r="2" ht="24" customHeight="1">
      <x:c r="A2" s="102" t="str">
        <x:v>External evidence is distinct from management assumptions and source-concept inputs</x:v>
      </x:c>
      <x:c r="B2" s="102"/>
      <x:c r="C2" s="102"/>
      <x:c r="D2" s="102"/>
      <x:c r="E2" s="102"/>
      <x:c r="F2" s="102"/>
      <x:c r="G2" s="102"/>
      <x:c r="H2" s="102"/>
    </x:row>
    <x:row r="3" ht="25" customHeight="1">
      <x:c r="A3" s="20" t="str">
        <x:v>Item</x:v>
      </x:c>
      <x:c r="B3" s="21" t="str">
        <x:v>Value</x:v>
      </x:c>
      <x:c r="C3" s="21" t="str">
        <x:v>Units</x:v>
      </x:c>
      <x:c r="D3" s="21" t="str">
        <x:v>Period / as-of</x:v>
      </x:c>
      <x:c r="E3" s="21" t="str">
        <x:v>Source</x:v>
      </x:c>
      <x:c r="F3" s="21" t="str">
        <x:v>URL</x:v>
      </x:c>
      <x:c r="G3" s="21" t="str">
        <x:v>Accessed</x:v>
      </x:c>
      <x:c r="H3" s="22" t="str">
        <x:v>Model use / notes</x:v>
      </x:c>
    </x:row>
    <x:row r="4" ht="46" customHeight="1">
      <x:c r="A4" s="147" t="str">
        <x:v>U.S. small businesses</x:v>
      </x:c>
      <x:c r="B4" s="148" t="n">
        <x:v>36207130</x:v>
      </x:c>
      <x:c r="C4" s="147" t="str">
        <x:v>firms</x:v>
      </x:c>
      <x:c r="D4" s="147" t="str">
        <x:v>2026 FAQ; underlying 2022</x:v>
      </x:c>
      <x:c r="E4" s="147" t="str">
        <x:v>SBA Office of Advocacy</x:v>
      </x:c>
      <x:c r="F4" s="147" t="str">
        <x:v>https://advocacy.sba.gov/wp-content/uploads/2026/02/FINAL_FAQsAboutSmallBusiness_2026_012826.pdf</x:v>
      </x:c>
      <x:c r="G4" s="147" t="str">
        <x:v>2026-07-17</x:v>
      </x:c>
      <x:c r="H4" s="147" t="str">
        <x:v>Demand-universe context; not used as a revenue multiplier</x:v>
      </x:c>
    </x:row>
    <x:row r="5" ht="46" customHeight="1">
      <x:c r="A5" s="149" t="str">
        <x:v>June 2026 business applications</x:v>
      </x:c>
      <x:c r="B5" s="150" t="n">
        <x:v>531423</x:v>
      </x:c>
      <x:c r="C5" s="149" t="str">
        <x:v>applications</x:v>
      </x:c>
      <x:c r="D5" s="149" t="str">
        <x:v>June 2026</x:v>
      </x:c>
      <x:c r="E5" s="149" t="str">
        <x:v>U.S. Census Bureau BFS</x:v>
      </x:c>
      <x:c r="F5" s="149" t="str">
        <x:v>https://www.census.gov/econ/bfs/current/index.html</x:v>
      </x:c>
      <x:c r="G5" s="149" t="str">
        <x:v>2026-07-17</x:v>
      </x:c>
      <x:c r="H5" s="149" t="str">
        <x:v>Current new-business intent signal</x:v>
      </x:c>
    </x:row>
    <x:row r="6" ht="46" customHeight="1">
      <x:c r="A6" s="149" t="str">
        <x:v>Projected formations within four quarters</x:v>
      </x:c>
      <x:c r="B6" s="150" t="n">
        <x:v>29741</x:v>
      </x:c>
      <x:c r="C6" s="149" t="str">
        <x:v>formations</x:v>
      </x:c>
      <x:c r="D6" s="149" t="str">
        <x:v>June 2026 cohort</x:v>
      </x:c>
      <x:c r="E6" s="149" t="str">
        <x:v>U.S. Census Bureau BFS</x:v>
      </x:c>
      <x:c r="F6" s="149" t="str">
        <x:v>https://www.census.gov/econ/bfs/current/index.html</x:v>
      </x:c>
      <x:c r="G6" s="149" t="str">
        <x:v>2026-07-17</x:v>
      </x:c>
      <x:c r="H6" s="149" t="str">
        <x:v>Funnel-quality signal</x:v>
      </x:c>
    </x:row>
    <x:row r="7" ht="46" customHeight="1">
      <x:c r="A7" s="149" t="str">
        <x:v>Management analyst median pay</x:v>
      </x:c>
      <x:c r="B7" s="150" t="n">
        <x:v>101190</x:v>
      </x:c>
      <x:c r="C7" s="149" t="str">
        <x:v>USD / year</x:v>
      </x:c>
      <x:c r="D7" s="149" t="str">
        <x:v>May 2024</x:v>
      </x:c>
      <x:c r="E7" s="149" t="str">
        <x:v>U.S. Bureau of Labor Statistics</x:v>
      </x:c>
      <x:c r="F7" s="149" t="str">
        <x:v>https://www.bls.gov/ooh/business-and-financial/management-analysts.htm</x:v>
      </x:c>
      <x:c r="G7" s="149" t="str">
        <x:v>2026-07-17</x:v>
      </x:c>
      <x:c r="H7" s="149" t="str">
        <x:v>Professional labor benchmark</x:v>
      </x:c>
    </x:row>
    <x:row r="8" ht="46" customHeight="1">
      <x:c r="A8" s="149" t="str">
        <x:v>Market research analyst median pay</x:v>
      </x:c>
      <x:c r="B8" s="150" t="n">
        <x:v>76950</x:v>
      </x:c>
      <x:c r="C8" s="149" t="str">
        <x:v>USD / year</x:v>
      </x:c>
      <x:c r="D8" s="149" t="str">
        <x:v>May 2024</x:v>
      </x:c>
      <x:c r="E8" s="149" t="str">
        <x:v>U.S. Bureau of Labor Statistics</x:v>
      </x:c>
      <x:c r="F8" s="149" t="str">
        <x:v>https://www.bls.gov/ooh/business-and-financial/market-research-analysts.htm</x:v>
      </x:c>
      <x:c r="G8" s="149" t="str">
        <x:v>2026-07-17</x:v>
      </x:c>
      <x:c r="H8" s="149" t="str">
        <x:v>Brain Stormer salary anchor</x:v>
      </x:c>
    </x:row>
    <x:row r="9" ht="46" customHeight="1">
      <x:c r="A9" s="149" t="str">
        <x:v>Average retail asking rent</x:v>
      </x:c>
      <x:c r="B9" s="151" t="n">
        <x:v>24.59</x:v>
      </x:c>
      <x:c r="C9" s="149" t="str">
        <x:v>USD / sq. ft.</x:v>
      </x:c>
      <x:c r="D9" s="149" t="str">
        <x:v>Q1 2026</x:v>
      </x:c>
      <x:c r="E9" s="149" t="str">
        <x:v>CBRE U.S. Retail Figures</x:v>
      </x:c>
      <x:c r="F9" s="149" t="str">
        <x:v>https://www.cbre.com/insights/figures/q1-2026-us-retail-figures</x:v>
      </x:c>
      <x:c r="G9" s="149" t="str">
        <x:v>2026-07-17</x:v>
      </x:c>
      <x:c r="H9" s="149" t="str">
        <x:v>Model uses $30 plus $9 NNN/CAM for a visible service location</x:v>
      </x:c>
    </x:row>
    <x:row r="10" ht="46" customHeight="1">
      <x:c r="A10" s="149" t="str">
        <x:v>U.S. retail availability</x:v>
      </x:c>
      <x:c r="B10" s="152" t="n">
        <x:v>0.049</x:v>
      </x:c>
      <x:c r="C10" s="149" t="str">
        <x:v>%</x:v>
      </x:c>
      <x:c r="D10" s="149" t="str">
        <x:v>Q1 2026</x:v>
      </x:c>
      <x:c r="E10" s="149" t="str">
        <x:v>CBRE U.S. Retail Figures</x:v>
      </x:c>
      <x:c r="F10" s="149" t="str">
        <x:v>https://www.cbre.com/insights/figures/q1-2026-us-retail-figures</x:v>
      </x:c>
      <x:c r="G10" s="149" t="str">
        <x:v>2026-07-17</x:v>
      </x:c>
      <x:c r="H10" s="149" t="str">
        <x:v>Supports lease-risk caution</x:v>
      </x:c>
    </x:row>
    <x:row r="11" ht="46" customHeight="1">
      <x:c r="A11" s="149" t="str">
        <x:v>Kickstarter platform fee</x:v>
      </x:c>
      <x:c r="B11" s="152" t="n">
        <x:v>0.05</x:v>
      </x:c>
      <x:c r="C11" s="149" t="str">
        <x:v>% of successful funding</x:v>
      </x:c>
      <x:c r="D11" s="149" t="str">
        <x:v>Current</x:v>
      </x:c>
      <x:c r="E11" s="149" t="str">
        <x:v>Kickstarter Support</x:v>
      </x:c>
      <x:c r="F11" s="149" t="str">
        <x:v>https://help.kickstarter.com/hc/en-us/articles/115005028634-What-are-the-fees</x:v>
      </x:c>
      <x:c r="G11" s="149" t="str">
        <x:v>2026-07-17</x:v>
      </x:c>
      <x:c r="H11" s="149" t="str">
        <x:v>Competitive pricing benchmark</x:v>
      </x:c>
    </x:row>
    <x:row r="12" ht="46" customHeight="1">
      <x:c r="A12" s="149" t="str">
        <x:v>Reg CF reported proceeds</x:v>
      </x:c>
      <x:c r="B12" s="153" t="n">
        <x:v>1546000000</x:v>
      </x:c>
      <x:c r="C12" s="149" t="str">
        <x:v>USD</x:v>
      </x:c>
      <x:c r="D12" s="149" t="str">
        <x:v>May 2016-Dec 2025</x:v>
      </x:c>
      <x:c r="E12" s="149" t="str">
        <x:v>U.S. SEC</x:v>
      </x:c>
      <x:c r="F12" s="149" t="str">
        <x:v>https://www.sec.gov/data-research/statistics-data-visualizations/regulation-crowdfunding-cf-offerings</x:v>
      </x:c>
      <x:c r="G12" s="149" t="str">
        <x:v>2026-07-17</x:v>
      </x:c>
      <x:c r="H12" s="149" t="str">
        <x:v>Later-phase market evidence; no launch revenue credit</x:v>
      </x:c>
    </x:row>
    <x:row r="13" ht="46" customHeight="1">
      <x:c r="A13" s="149" t="str">
        <x:v>Reg CF offerings reporting proceeds</x:v>
      </x:c>
      <x:c r="B13" s="150" t="n">
        <x:v>4303</x:v>
      </x:c>
      <x:c r="C13" s="149" t="str">
        <x:v>offerings</x:v>
      </x:c>
      <x:c r="D13" s="149" t="str">
        <x:v>May 2016-Dec 2025</x:v>
      </x:c>
      <x:c r="E13" s="149" t="str">
        <x:v>U.S. SEC</x:v>
      </x:c>
      <x:c r="F13" s="149" t="str">
        <x:v>https://www.sec.gov/data-research/statistics-data-visualizations/regulation-crowdfunding-cf-offerings</x:v>
      </x:c>
      <x:c r="G13" s="149" t="str">
        <x:v>2026-07-17</x:v>
      </x:c>
      <x:c r="H13" s="149" t="str">
        <x:v>Later-phase market evidence</x:v>
      </x:c>
    </x:row>
    <x:row r="14" ht="46" customHeight="1">
      <x:c r="A14" s="149" t="str">
        <x:v>Working prices and utilization</x:v>
      </x:c>
      <x:c r="B14" s="150" t="str">
        <x:v>Management assumption</x:v>
      </x:c>
      <x:c r="C14" s="149" t="str">
        <x:v>n/a</x:v>
      </x:c>
      <x:c r="D14" s="149" t="str">
        <x:v>2026-07-17</x:v>
      </x:c>
      <x:c r="E14" s="149" t="str">
        <x:v>Lame Brain feasibility model</x:v>
      </x:c>
      <x:c r="F14" s="149" t="str"/>
      <x:c r="G14" s="149" t="str">
        <x:v>2026-07-17</x:v>
      </x:c>
      <x:c r="H14" s="149" t="str">
        <x:v>Must be validated through paid pilot</x:v>
      </x:c>
    </x:row>
    <x:row r="15" ht="46" customHeight="1">
      <x:c r="A15" s="154" t="str">
        <x:v>Opening capex and local occupancy</x:v>
      </x:c>
      <x:c r="B15" s="155" t="str">
        <x:v>Management assumption</x:v>
      </x:c>
      <x:c r="C15" s="154" t="str">
        <x:v>n/a</x:v>
      </x:c>
      <x:c r="D15" s="154" t="str">
        <x:v>2026-07-17</x:v>
      </x:c>
      <x:c r="E15" s="154" t="str">
        <x:v>Lame Brain feasibility model</x:v>
      </x:c>
      <x:c r="F15" s="154" t="str"/>
      <x:c r="G15" s="154" t="str">
        <x:v>2026-07-17</x:v>
      </x:c>
      <x:c r="H15" s="154" t="str">
        <x:v>Requires broker proposals and contractor bids</x:v>
      </x:c>
    </x:row>
  </x:sheetData>
  <x:mergeCells>
    <x:mergeCell ref="A1:H1"/>
    <x:mergeCell ref="A2:H2"/>
  </x:mergeCells>
  <x:pageMargins left="0.7" right="0.7" top="0.75" bottom="0.75" header="0.3" footer="0.3"/>
</x:worksheet>
</file>